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 tabRatio="500"/>
  </bookViews>
  <sheets>
    <sheet name="销售物业-海沧A璞盛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<sst xmlns="http://schemas.openxmlformats.org/spreadsheetml/2006/main" count="316" uniqueCount="103">
  <si>
    <t>一、工程进度：</t>
  </si>
  <si>
    <t>二、销售情况</t>
  </si>
  <si>
    <t>W</t>
  </si>
  <si>
    <t>X</t>
  </si>
  <si>
    <t>Y</t>
  </si>
  <si>
    <t>Z</t>
  </si>
  <si>
    <t>AA</t>
  </si>
  <si>
    <t>AB</t>
  </si>
  <si>
    <t>海沧璞盛</t>
  </si>
  <si>
    <t>合计</t>
  </si>
  <si>
    <t>2025年及以前已实现</t>
  </si>
  <si>
    <t>2026年1-3月</t>
  </si>
  <si>
    <t>截止26年3月待售</t>
  </si>
  <si>
    <t>2026年预计</t>
  </si>
  <si>
    <t>2027年预计</t>
  </si>
  <si>
    <t>2028年预计</t>
  </si>
  <si>
    <t>2029年预计</t>
  </si>
  <si>
    <t>2030年预计</t>
  </si>
  <si>
    <t>2031年及以后预计</t>
  </si>
  <si>
    <t>一期</t>
  </si>
  <si>
    <t>二期</t>
  </si>
  <si>
    <t>签约</t>
  </si>
  <si>
    <t>住宅</t>
  </si>
  <si>
    <t>其中：普宅</t>
  </si>
  <si>
    <t>非普宅</t>
  </si>
  <si>
    <t>商业</t>
  </si>
  <si>
    <t>车位</t>
  </si>
  <si>
    <t>面积</t>
  </si>
  <si>
    <t>套数</t>
  </si>
  <si>
    <t>均价</t>
  </si>
  <si>
    <t>车位（万元/个）</t>
  </si>
  <si>
    <t>三、成本释放情况</t>
  </si>
  <si>
    <t>动态成本对比启动会可释放：</t>
  </si>
  <si>
    <t>四、最新利润预测</t>
  </si>
  <si>
    <t>指标</t>
  </si>
  <si>
    <t>启动会整体</t>
  </si>
  <si>
    <t>预计整体</t>
  </si>
  <si>
    <t>截至25年</t>
  </si>
  <si>
    <t>26年</t>
  </si>
  <si>
    <t>27年</t>
  </si>
  <si>
    <t>28年</t>
  </si>
  <si>
    <t>29年</t>
  </si>
  <si>
    <t>30年</t>
  </si>
  <si>
    <t>31年及以后</t>
  </si>
  <si>
    <t>预计-启动会</t>
  </si>
  <si>
    <t>当前-汇报</t>
  </si>
  <si>
    <t>一、营业总收入</t>
  </si>
  <si>
    <t>二、营业总成本</t>
  </si>
  <si>
    <t>营业成本</t>
  </si>
  <si>
    <t>其中：土地成本</t>
  </si>
  <si>
    <t>建安成本</t>
  </si>
  <si>
    <t>建设期财务费用</t>
  </si>
  <si>
    <t>税金及附加</t>
  </si>
  <si>
    <t>其中：土增税</t>
  </si>
  <si>
    <t>销售费用</t>
  </si>
  <si>
    <t>其中：渠道费用</t>
  </si>
  <si>
    <t>其他费用</t>
  </si>
  <si>
    <t>研发费用</t>
  </si>
  <si>
    <t>管理费用</t>
  </si>
  <si>
    <t>财务费用</t>
  </si>
  <si>
    <t>加：其他收益</t>
  </si>
  <si>
    <t>资产减值损失</t>
  </si>
  <si>
    <t>营业利润</t>
  </si>
  <si>
    <t>加：营业外收入</t>
  </si>
  <si>
    <t>减：营业外支出</t>
  </si>
  <si>
    <t>三、利润总额</t>
  </si>
  <si>
    <t>减：所得税费用</t>
  </si>
  <si>
    <t>四、净利润</t>
  </si>
  <si>
    <t>结转套数明细（一期）</t>
  </si>
  <si>
    <t>2026年</t>
  </si>
  <si>
    <t>2027年</t>
  </si>
  <si>
    <t>2028年</t>
  </si>
  <si>
    <t>2029年</t>
  </si>
  <si>
    <t>2030年</t>
  </si>
  <si>
    <t>规划可售</t>
  </si>
  <si>
    <t>无销售计划</t>
  </si>
  <si>
    <t>车均面积</t>
  </si>
  <si>
    <t>精装</t>
  </si>
  <si>
    <t>普通住宅</t>
  </si>
  <si>
    <t>非普通住宅</t>
  </si>
  <si>
    <t>商办</t>
  </si>
  <si>
    <t>毛坯</t>
  </si>
  <si>
    <t>结转套数明细（二期）</t>
  </si>
  <si>
    <t>结转面积明细（一期）</t>
  </si>
  <si>
    <t>结转面积明细（二期）</t>
  </si>
  <si>
    <t>①绿框公式里面第一个sum公式后面的式子往右移动1列；②被减数sum公式往下移动6行</t>
  </si>
  <si>
    <t>货值</t>
  </si>
  <si>
    <t>结转含税货值明细（一期）</t>
  </si>
  <si>
    <t>结转含税货值明细（二期）</t>
  </si>
  <si>
    <t>单价</t>
  </si>
  <si>
    <t>结转单价明细（一期）</t>
  </si>
  <si>
    <t>结转单价明细（二期）</t>
  </si>
  <si>
    <t>单方</t>
  </si>
  <si>
    <t>结转单方明细（一期）</t>
  </si>
  <si>
    <t>资本化利息结余</t>
  </si>
  <si>
    <t>建造成本结余</t>
  </si>
  <si>
    <t>资本化管费增项</t>
  </si>
  <si>
    <t>调整后合计</t>
  </si>
  <si>
    <t>结转单方明细（二期）</t>
  </si>
  <si>
    <t>注：按销售计划结转车位成本</t>
  </si>
  <si>
    <t>原资本化利息</t>
  </si>
  <si>
    <t>现资本化利息</t>
  </si>
  <si>
    <t>结余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</si>
</sst>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\-??_ ;_ @_ "/>
    <numFmt numFmtId="177" formatCode="_ * #,##0.00_ ;_ * \-#,##0.00_ ;_ * \-??_ ;_ @_ "/>
    <numFmt numFmtId="178" formatCode="yyyy\-m\-d"/>
    <numFmt numFmtId="179" formatCode="0.0%"/>
    <numFmt numFmtId="180" formatCode="_ * #,##0.00_ ;_ * \-#,##0.00_ ;_ * \-??.00_ ;_ @_ "/>
  </numFmts>
  <fonts count="33">
    <font>
      <sz val="11"/>
      <color theme="1"/>
      <name val="宋体"/>
      <charset val="134"/>
    </font>
    <font>
      <b/>
      <sz val="12"/>
      <color rgb="FFC0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rgb="FFFCE6D5"/>
      </patternFill>
    </fill>
    <fill>
      <patternFill patternType="solid">
        <fgColor theme="5" tint="0.8"/>
        <bgColor rgb="FFFFF2CA"/>
      </patternFill>
    </fill>
    <fill>
      <patternFill patternType="solid">
        <fgColor theme="4" tint="0.8"/>
        <bgColor rgb="FFFCE6D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2CA"/>
      </patternFill>
    </fill>
    <fill>
      <patternFill patternType="solid">
        <fgColor rgb="FF92D05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Border="0" applyAlignment="0" applyProtection="0"/>
    <xf numFmtId="44" fontId="12" fillId="0" borderId="0" applyBorder="0" applyAlignment="0" applyProtection="0"/>
    <xf numFmtId="9" fontId="0" fillId="0" borderId="0" applyBorder="0" applyProtection="0">
      <alignment vertical="center"/>
    </xf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3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35" applyNumberFormat="0" applyAlignment="0" applyProtection="0">
      <alignment vertical="center"/>
    </xf>
    <xf numFmtId="0" fontId="23" fillId="11" borderId="36" applyNumberFormat="0" applyAlignment="0" applyProtection="0">
      <alignment vertical="center"/>
    </xf>
    <xf numFmtId="0" fontId="24" fillId="11" borderId="35" applyNumberFormat="0" applyAlignment="0" applyProtection="0">
      <alignment vertical="center"/>
    </xf>
    <xf numFmtId="0" fontId="25" fillId="12" borderId="37" applyNumberFormat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0" borderId="3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2" fillId="2" borderId="0" xfId="0" applyFont="1" applyFill="1" applyBorder="1" applyAlignment="1" applyProtection="1">
      <alignment horizontal="left" vertical="center"/>
    </xf>
    <xf numFmtId="0" fontId="3" fillId="3" borderId="0" xfId="0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vertical="center"/>
    </xf>
    <xf numFmtId="177" fontId="2" fillId="0" borderId="1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left" vertical="center"/>
    </xf>
    <xf numFmtId="178" fontId="6" fillId="0" borderId="0" xfId="0" applyNumberFormat="1" applyFont="1" applyBorder="1" applyAlignment="1" applyProtection="1">
      <alignment horizontal="center" vertical="center" wrapText="1"/>
    </xf>
    <xf numFmtId="178" fontId="6" fillId="0" borderId="0" xfId="0" applyNumberFormat="1" applyFont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177" fontId="2" fillId="0" borderId="12" xfId="0" applyNumberFormat="1" applyFont="1" applyBorder="1" applyAlignment="1" applyProtection="1">
      <alignment vertical="center"/>
    </xf>
    <xf numFmtId="177" fontId="2" fillId="0" borderId="13" xfId="0" applyNumberFormat="1" applyFont="1" applyBorder="1" applyAlignment="1" applyProtection="1">
      <alignment vertical="center"/>
    </xf>
    <xf numFmtId="177" fontId="2" fillId="0" borderId="11" xfId="0" applyNumberFormat="1" applyFont="1" applyBorder="1" applyAlignment="1" applyProtection="1">
      <alignment vertical="center"/>
    </xf>
    <xf numFmtId="177" fontId="2" fillId="0" borderId="12" xfId="0" applyNumberFormat="1" applyFont="1" applyBorder="1" applyAlignment="1" applyProtection="1">
      <alignment horizontal="center" vertical="center"/>
    </xf>
    <xf numFmtId="177" fontId="2" fillId="0" borderId="13" xfId="0" applyNumberFormat="1" applyFont="1" applyBorder="1" applyAlignment="1" applyProtection="1">
      <alignment horizontal="center" vertical="center"/>
    </xf>
    <xf numFmtId="177" fontId="2" fillId="0" borderId="11" xfId="0" applyNumberFormat="1" applyFont="1" applyBorder="1" applyAlignment="1" applyProtection="1">
      <alignment horizontal="center" vertical="center"/>
    </xf>
    <xf numFmtId="177" fontId="2" fillId="0" borderId="14" xfId="0" applyNumberFormat="1" applyFont="1" applyBorder="1" applyAlignment="1" applyProtection="1">
      <alignment horizontal="center" vertical="center"/>
    </xf>
    <xf numFmtId="177" fontId="2" fillId="0" borderId="15" xfId="0" applyNumberFormat="1" applyFont="1" applyBorder="1" applyAlignment="1" applyProtection="1">
      <alignment horizontal="center" vertical="center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177" fontId="2" fillId="0" borderId="17" xfId="0" applyNumberFormat="1" applyFont="1" applyBorder="1" applyAlignment="1" applyProtection="1">
      <alignment vertical="center"/>
    </xf>
    <xf numFmtId="177" fontId="2" fillId="0" borderId="18" xfId="0" applyNumberFormat="1" applyFont="1" applyBorder="1" applyAlignment="1" applyProtection="1">
      <alignment vertical="center"/>
    </xf>
    <xf numFmtId="177" fontId="2" fillId="0" borderId="16" xfId="0" applyNumberFormat="1" applyFont="1" applyBorder="1" applyAlignment="1" applyProtection="1">
      <alignment vertical="center"/>
    </xf>
    <xf numFmtId="177" fontId="2" fillId="0" borderId="17" xfId="0" applyNumberFormat="1" applyFont="1" applyBorder="1" applyAlignment="1" applyProtection="1">
      <alignment horizontal="center" vertical="center"/>
    </xf>
    <xf numFmtId="177" fontId="2" fillId="0" borderId="18" xfId="0" applyNumberFormat="1" applyFont="1" applyBorder="1" applyAlignment="1" applyProtection="1">
      <alignment horizontal="center" vertical="center"/>
    </xf>
    <xf numFmtId="177" fontId="2" fillId="0" borderId="16" xfId="0" applyNumberFormat="1" applyFont="1" applyBorder="1" applyAlignment="1" applyProtection="1">
      <alignment horizontal="center" vertical="center"/>
    </xf>
    <xf numFmtId="177" fontId="2" fillId="0" borderId="19" xfId="0" applyNumberFormat="1" applyFont="1" applyBorder="1" applyAlignment="1" applyProtection="1">
      <alignment horizontal="center" vertical="center"/>
    </xf>
    <xf numFmtId="177" fontId="2" fillId="0" borderId="20" xfId="0" applyNumberFormat="1" applyFont="1" applyBorder="1" applyAlignment="1" applyProtection="1">
      <alignment horizontal="center" vertical="center"/>
    </xf>
    <xf numFmtId="0" fontId="2" fillId="4" borderId="16" xfId="0" applyFont="1" applyFill="1" applyBorder="1" applyAlignment="1" applyProtection="1">
      <alignment horizontal="right" vertical="center"/>
      <protection locked="0"/>
    </xf>
    <xf numFmtId="177" fontId="7" fillId="0" borderId="17" xfId="0" applyNumberFormat="1" applyFont="1" applyBorder="1" applyAlignment="1" applyProtection="1">
      <alignment horizontal="center" vertical="center" wrapText="1"/>
    </xf>
    <xf numFmtId="177" fontId="7" fillId="0" borderId="19" xfId="0" applyNumberFormat="1" applyFont="1" applyBorder="1" applyAlignment="1" applyProtection="1">
      <alignment horizontal="center" vertical="center" wrapText="1"/>
    </xf>
    <xf numFmtId="0" fontId="2" fillId="4" borderId="21" xfId="0" applyFont="1" applyFill="1" applyBorder="1" applyAlignment="1" applyProtection="1">
      <alignment horizontal="center" vertical="center"/>
      <protection locked="0"/>
    </xf>
    <xf numFmtId="177" fontId="2" fillId="0" borderId="22" xfId="0" applyNumberFormat="1" applyFont="1" applyBorder="1" applyAlignment="1" applyProtection="1">
      <alignment vertical="center"/>
    </xf>
    <xf numFmtId="177" fontId="2" fillId="0" borderId="23" xfId="0" applyNumberFormat="1" applyFont="1" applyBorder="1" applyAlignment="1" applyProtection="1">
      <alignment vertical="center"/>
    </xf>
    <xf numFmtId="177" fontId="2" fillId="0" borderId="21" xfId="0" applyNumberFormat="1" applyFont="1" applyBorder="1" applyAlignment="1" applyProtection="1">
      <alignment vertical="center"/>
    </xf>
    <xf numFmtId="177" fontId="7" fillId="0" borderId="22" xfId="0" applyNumberFormat="1" applyFont="1" applyBorder="1" applyAlignment="1" applyProtection="1">
      <alignment horizontal="center" vertical="center" wrapText="1"/>
    </xf>
    <xf numFmtId="177" fontId="2" fillId="0" borderId="23" xfId="0" applyNumberFormat="1" applyFont="1" applyBorder="1" applyAlignment="1" applyProtection="1">
      <alignment horizontal="center" vertical="center"/>
    </xf>
    <xf numFmtId="177" fontId="2" fillId="0" borderId="21" xfId="0" applyNumberFormat="1" applyFont="1" applyBorder="1" applyAlignment="1" applyProtection="1">
      <alignment horizontal="center" vertical="center"/>
    </xf>
    <xf numFmtId="177" fontId="7" fillId="0" borderId="24" xfId="0" applyNumberFormat="1" applyFont="1" applyBorder="1" applyAlignment="1" applyProtection="1">
      <alignment horizontal="center" vertical="center" wrapText="1"/>
    </xf>
    <xf numFmtId="177" fontId="2" fillId="0" borderId="25" xfId="0" applyNumberFormat="1" applyFont="1" applyBorder="1" applyAlignment="1" applyProtection="1">
      <alignment horizontal="center" vertical="center"/>
    </xf>
    <xf numFmtId="177" fontId="7" fillId="0" borderId="12" xfId="0" applyNumberFormat="1" applyFont="1" applyBorder="1" applyAlignment="1" applyProtection="1">
      <alignment horizontal="center" vertical="center" wrapText="1"/>
    </xf>
    <xf numFmtId="177" fontId="7" fillId="0" borderId="14" xfId="0" applyNumberFormat="1" applyFont="1" applyBorder="1" applyAlignment="1" applyProtection="1">
      <alignment horizontal="center" vertical="center" wrapText="1"/>
    </xf>
    <xf numFmtId="176" fontId="2" fillId="0" borderId="12" xfId="0" applyNumberFormat="1" applyFont="1" applyBorder="1" applyAlignment="1" applyProtection="1">
      <alignment vertical="center"/>
    </xf>
    <xf numFmtId="176" fontId="2" fillId="0" borderId="13" xfId="0" applyNumberFormat="1" applyFont="1" applyBorder="1" applyAlignment="1" applyProtection="1">
      <alignment vertical="center"/>
    </xf>
    <xf numFmtId="176" fontId="2" fillId="0" borderId="11" xfId="0" applyNumberFormat="1" applyFont="1" applyBorder="1" applyAlignment="1" applyProtection="1">
      <alignment vertical="center"/>
    </xf>
    <xf numFmtId="176" fontId="7" fillId="0" borderId="12" xfId="0" applyNumberFormat="1" applyFont="1" applyBorder="1" applyAlignment="1" applyProtection="1">
      <alignment horizontal="center" vertical="center" wrapText="1"/>
    </xf>
    <xf numFmtId="176" fontId="2" fillId="0" borderId="13" xfId="0" applyNumberFormat="1" applyFont="1" applyBorder="1" applyAlignment="1" applyProtection="1">
      <alignment horizontal="center" vertical="center"/>
    </xf>
    <xf numFmtId="176" fontId="2" fillId="0" borderId="11" xfId="0" applyNumberFormat="1" applyFont="1" applyBorder="1" applyAlignment="1" applyProtection="1">
      <alignment horizontal="center" vertical="center"/>
    </xf>
    <xf numFmtId="176" fontId="7" fillId="0" borderId="14" xfId="0" applyNumberFormat="1" applyFont="1" applyBorder="1" applyAlignment="1" applyProtection="1">
      <alignment horizontal="center" vertical="center" wrapText="1"/>
    </xf>
    <xf numFmtId="176" fontId="2" fillId="0" borderId="15" xfId="0" applyNumberFormat="1" applyFont="1" applyBorder="1" applyAlignment="1" applyProtection="1">
      <alignment horizontal="center" vertical="center"/>
    </xf>
    <xf numFmtId="176" fontId="2" fillId="0" borderId="17" xfId="0" applyNumberFormat="1" applyFont="1" applyBorder="1" applyAlignment="1" applyProtection="1">
      <alignment vertical="center"/>
    </xf>
    <xf numFmtId="176" fontId="2" fillId="0" borderId="18" xfId="0" applyNumberFormat="1" applyFont="1" applyBorder="1" applyAlignment="1" applyProtection="1">
      <alignment vertical="center"/>
    </xf>
    <xf numFmtId="176" fontId="2" fillId="0" borderId="16" xfId="0" applyNumberFormat="1" applyFont="1" applyBorder="1" applyAlignment="1" applyProtection="1">
      <alignment vertical="center"/>
    </xf>
    <xf numFmtId="176" fontId="7" fillId="0" borderId="17" xfId="0" applyNumberFormat="1" applyFont="1" applyBorder="1" applyAlignment="1" applyProtection="1">
      <alignment horizontal="center" vertical="center" wrapText="1"/>
    </xf>
    <xf numFmtId="176" fontId="2" fillId="0" borderId="18" xfId="0" applyNumberFormat="1" applyFont="1" applyBorder="1" applyAlignment="1" applyProtection="1">
      <alignment horizontal="center" vertical="center"/>
    </xf>
    <xf numFmtId="176" fontId="2" fillId="0" borderId="16" xfId="0" applyNumberFormat="1" applyFont="1" applyBorder="1" applyAlignment="1" applyProtection="1">
      <alignment horizontal="center" vertical="center"/>
    </xf>
    <xf numFmtId="176" fontId="7" fillId="0" borderId="19" xfId="0" applyNumberFormat="1" applyFont="1" applyBorder="1" applyAlignment="1" applyProtection="1">
      <alignment horizontal="center" vertical="center" wrapText="1"/>
    </xf>
    <xf numFmtId="176" fontId="2" fillId="0" borderId="20" xfId="0" applyNumberFormat="1" applyFont="1" applyBorder="1" applyAlignment="1" applyProtection="1">
      <alignment horizontal="center" vertical="center"/>
    </xf>
    <xf numFmtId="176" fontId="2" fillId="0" borderId="22" xfId="0" applyNumberFormat="1" applyFont="1" applyBorder="1" applyAlignment="1" applyProtection="1">
      <alignment vertical="center"/>
    </xf>
    <xf numFmtId="176" fontId="2" fillId="0" borderId="23" xfId="0" applyNumberFormat="1" applyFont="1" applyBorder="1" applyAlignment="1" applyProtection="1">
      <alignment vertical="center"/>
    </xf>
    <xf numFmtId="176" fontId="2" fillId="0" borderId="21" xfId="0" applyNumberFormat="1" applyFont="1" applyBorder="1" applyAlignment="1" applyProtection="1">
      <alignment vertical="center"/>
    </xf>
    <xf numFmtId="176" fontId="7" fillId="0" borderId="22" xfId="0" applyNumberFormat="1" applyFont="1" applyBorder="1" applyAlignment="1" applyProtection="1">
      <alignment horizontal="center" vertical="center" wrapText="1"/>
    </xf>
    <xf numFmtId="176" fontId="2" fillId="0" borderId="23" xfId="0" applyNumberFormat="1" applyFont="1" applyBorder="1" applyAlignment="1" applyProtection="1">
      <alignment horizontal="center" vertical="center"/>
    </xf>
    <xf numFmtId="176" fontId="2" fillId="0" borderId="21" xfId="0" applyNumberFormat="1" applyFont="1" applyBorder="1" applyAlignment="1" applyProtection="1">
      <alignment horizontal="center" vertical="center"/>
    </xf>
    <xf numFmtId="176" fontId="7" fillId="0" borderId="24" xfId="0" applyNumberFormat="1" applyFont="1" applyBorder="1" applyAlignment="1" applyProtection="1">
      <alignment horizontal="center" vertical="center" wrapText="1"/>
    </xf>
    <xf numFmtId="176" fontId="2" fillId="0" borderId="25" xfId="0" applyNumberFormat="1" applyFont="1" applyBorder="1" applyAlignment="1" applyProtection="1">
      <alignment horizontal="center" vertical="center"/>
    </xf>
    <xf numFmtId="176" fontId="8" fillId="5" borderId="23" xfId="0" applyNumberFormat="1" applyFont="1" applyFill="1" applyBorder="1" applyAlignment="1" applyProtection="1">
      <alignment horizontal="center" vertical="center"/>
    </xf>
    <xf numFmtId="176" fontId="8" fillId="5" borderId="21" xfId="0" applyNumberFormat="1" applyFont="1" applyFill="1" applyBorder="1" applyAlignment="1" applyProtection="1">
      <alignment horizontal="center" vertical="center"/>
    </xf>
    <xf numFmtId="0" fontId="3" fillId="4" borderId="26" xfId="0" applyFont="1" applyFill="1" applyBorder="1" applyAlignment="1" applyProtection="1">
      <alignment horizontal="center" vertical="center"/>
      <protection locked="0"/>
    </xf>
    <xf numFmtId="0" fontId="2" fillId="4" borderId="27" xfId="0" applyFont="1" applyFill="1" applyBorder="1" applyAlignment="1" applyProtection="1">
      <alignment horizontal="center" vertical="center"/>
      <protection locked="0"/>
    </xf>
    <xf numFmtId="177" fontId="2" fillId="0" borderId="28" xfId="0" applyNumberFormat="1" applyFont="1" applyBorder="1" applyAlignment="1" applyProtection="1">
      <alignment vertical="center"/>
    </xf>
    <xf numFmtId="177" fontId="2" fillId="0" borderId="29" xfId="0" applyNumberFormat="1" applyFont="1" applyBorder="1" applyAlignment="1" applyProtection="1">
      <alignment vertical="center"/>
    </xf>
    <xf numFmtId="177" fontId="2" fillId="0" borderId="27" xfId="0" applyNumberFormat="1" applyFont="1" applyBorder="1" applyAlignment="1" applyProtection="1">
      <alignment vertical="center"/>
    </xf>
    <xf numFmtId="177" fontId="7" fillId="0" borderId="28" xfId="0" applyNumberFormat="1" applyFont="1" applyBorder="1" applyAlignment="1" applyProtection="1">
      <alignment horizontal="center" vertical="center" wrapText="1"/>
    </xf>
    <xf numFmtId="177" fontId="7" fillId="0" borderId="29" xfId="0" applyNumberFormat="1" applyFont="1" applyBorder="1" applyAlignment="1" applyProtection="1">
      <alignment horizontal="center" vertical="center" wrapText="1"/>
    </xf>
    <xf numFmtId="177" fontId="7" fillId="0" borderId="27" xfId="0" applyNumberFormat="1" applyFont="1" applyBorder="1" applyAlignment="1" applyProtection="1">
      <alignment horizontal="center" vertical="center" wrapText="1"/>
    </xf>
    <xf numFmtId="177" fontId="7" fillId="0" borderId="30" xfId="0" applyNumberFormat="1" applyFont="1" applyBorder="1" applyAlignment="1" applyProtection="1">
      <alignment horizontal="center" vertical="center" wrapText="1"/>
    </xf>
    <xf numFmtId="177" fontId="7" fillId="0" borderId="31" xfId="0" applyNumberFormat="1" applyFont="1" applyBorder="1" applyAlignment="1" applyProtection="1">
      <alignment horizontal="center" vertical="center" wrapText="1"/>
    </xf>
    <xf numFmtId="177" fontId="7" fillId="0" borderId="18" xfId="0" applyNumberFormat="1" applyFont="1" applyBorder="1" applyAlignment="1" applyProtection="1">
      <alignment horizontal="center" vertical="center" wrapText="1"/>
    </xf>
    <xf numFmtId="177" fontId="7" fillId="0" borderId="16" xfId="0" applyNumberFormat="1" applyFont="1" applyBorder="1" applyAlignment="1" applyProtection="1">
      <alignment horizontal="center" vertical="center" wrapText="1"/>
    </xf>
    <xf numFmtId="177" fontId="7" fillId="0" borderId="20" xfId="0" applyNumberFormat="1" applyFont="1" applyBorder="1" applyAlignment="1" applyProtection="1">
      <alignment horizontal="center" vertical="center" wrapText="1"/>
    </xf>
    <xf numFmtId="177" fontId="7" fillId="0" borderId="23" xfId="0" applyNumberFormat="1" applyFont="1" applyBorder="1" applyAlignment="1" applyProtection="1">
      <alignment horizontal="center" vertical="center" wrapText="1"/>
    </xf>
    <xf numFmtId="177" fontId="7" fillId="0" borderId="21" xfId="0" applyNumberFormat="1" applyFont="1" applyBorder="1" applyAlignment="1" applyProtection="1">
      <alignment horizontal="center" vertical="center" wrapText="1"/>
    </xf>
    <xf numFmtId="177" fontId="7" fillId="0" borderId="25" xfId="0" applyNumberFormat="1" applyFont="1" applyBorder="1" applyAlignment="1" applyProtection="1">
      <alignment horizontal="center" vertical="center" wrapText="1"/>
    </xf>
    <xf numFmtId="177" fontId="8" fillId="5" borderId="23" xfId="0" applyNumberFormat="1" applyFont="1" applyFill="1" applyBorder="1" applyAlignment="1" applyProtection="1">
      <alignment horizontal="center" vertical="center" wrapText="1"/>
    </xf>
    <xf numFmtId="177" fontId="8" fillId="5" borderId="2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</xf>
    <xf numFmtId="176" fontId="10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179" fontId="0" fillId="0" borderId="0" xfId="3" applyNumberFormat="1" applyFont="1" applyBorder="1" applyAlignment="1" applyProtection="1">
      <alignment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76" fontId="3" fillId="3" borderId="1" xfId="0" applyNumberFormat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176" fontId="11" fillId="0" borderId="0" xfId="0" applyNumberFormat="1" applyFont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left" vertical="center"/>
      <protection locked="0"/>
    </xf>
    <xf numFmtId="176" fontId="2" fillId="4" borderId="1" xfId="0" applyNumberFormat="1" applyFont="1" applyFill="1" applyBorder="1" applyAlignment="1" applyProtection="1">
      <alignment horizontal="left" vertical="center"/>
      <protection locked="0"/>
    </xf>
    <xf numFmtId="176" fontId="2" fillId="6" borderId="1" xfId="0" applyNumberFormat="1" applyFont="1" applyFill="1" applyBorder="1" applyAlignment="1" applyProtection="1">
      <alignment vertical="center"/>
    </xf>
    <xf numFmtId="176" fontId="2" fillId="0" borderId="0" xfId="0" applyNumberFormat="1" applyFont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176" fontId="2" fillId="0" borderId="1" xfId="0" applyNumberFormat="1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right" vertical="center"/>
    </xf>
    <xf numFmtId="10" fontId="0" fillId="0" borderId="0" xfId="3" applyNumberFormat="1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vertical="center"/>
    </xf>
    <xf numFmtId="0" fontId="11" fillId="2" borderId="0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/>
    </xf>
    <xf numFmtId="177" fontId="0" fillId="0" borderId="0" xfId="0" applyNumberFormat="1" applyAlignment="1" applyProtection="1">
      <alignment vertical="center"/>
    </xf>
    <xf numFmtId="180" fontId="2" fillId="0" borderId="0" xfId="0" applyNumberFormat="1" applyFont="1" applyAlignment="1" applyProtection="1">
      <alignment vertical="center"/>
    </xf>
    <xf numFmtId="9" fontId="10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76" fontId="2" fillId="8" borderId="1" xfId="0" applyNumberFormat="1" applyFont="1" applyFill="1" applyBorder="1" applyAlignment="1" applyProtection="1">
      <alignment vertical="center"/>
    </xf>
    <xf numFmtId="177" fontId="2" fillId="8" borderId="1" xfId="0" applyNumberFormat="1" applyFont="1" applyFill="1" applyBorder="1" applyAlignment="1" applyProtection="1">
      <alignment vertical="center"/>
    </xf>
    <xf numFmtId="176" fontId="2" fillId="5" borderId="1" xfId="0" applyNumberFormat="1" applyFont="1" applyFill="1" applyBorder="1" applyAlignment="1" applyProtection="1">
      <alignment vertical="center"/>
    </xf>
    <xf numFmtId="177" fontId="0" fillId="5" borderId="0" xfId="0" applyNumberFormat="1" applyFont="1" applyFill="1" applyBorder="1" applyAlignment="1" applyProtection="1">
      <alignment horizontal="center" vertical="center" wrapText="1"/>
    </xf>
    <xf numFmtId="180" fontId="2" fillId="0" borderId="0" xfId="0" applyNumberFormat="1" applyFont="1" applyBorder="1" applyAlignment="1" applyProtection="1">
      <alignment vertical="center"/>
    </xf>
    <xf numFmtId="177" fontId="2" fillId="0" borderId="0" xfId="0" applyNumberFormat="1" applyFont="1" applyBorder="1" applyAlignment="1" applyProtection="1">
      <alignment vertical="center"/>
    </xf>
    <xf numFmtId="176" fontId="2" fillId="0" borderId="0" xfId="0" applyNumberFormat="1" applyFont="1" applyBorder="1" applyAlignment="1" applyProtection="1">
      <alignment vertical="center"/>
    </xf>
    <xf numFmtId="177" fontId="8" fillId="0" borderId="1" xfId="0" applyNumberFormat="1" applyFont="1" applyBorder="1" applyAlignment="1" applyProtection="1">
      <alignment vertical="center"/>
    </xf>
    <xf numFmtId="177" fontId="3" fillId="3" borderId="0" xfId="0" applyNumberFormat="1" applyFont="1" applyFill="1" applyAlignment="1" applyProtection="1">
      <alignment horizontal="center" vertical="center"/>
    </xf>
    <xf numFmtId="0" fontId="10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/>
      <protection locked="0"/>
    </xf>
    <xf numFmtId="176" fontId="2" fillId="0" borderId="0" xfId="0" applyNumberFormat="1" applyFont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A"/>
      <rgbColor rgb="00CCFFFF"/>
      <rgbColor rgb="00660066"/>
      <rgbColor rgb="00FF8080"/>
      <rgbColor rgb="000066CC"/>
      <rgbColor rgb="00DAE3F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CE6D5"/>
      <rgbColor rgb="0099CCFF"/>
      <rgbColor rgb="00FF99CC"/>
      <rgbColor rgb="00CC99FF"/>
      <rgbColor rgb="00FFCC99"/>
      <rgbColor rgb="003366FF"/>
      <rgbColor rgb="0033CCCC"/>
      <rgbColor rgb="0092D05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AMTR-&#36130;&#21153;&#24037;&#20316;\0.26&#24180;&#39044;&#31639;&#24037;&#20316;-&#21313;&#20116;&#20116;&#37325;&#25490;\0.&#12304;&#25237;&#36164;&#38598;&#22242;&#21512;&#24182;&#21033;&#28070;&#34920;-&#21313;&#20116;&#20116;&#37325;&#25490;&#12305;&#21033;&#28070;&#27719;&#24635;&#34920;_&#25237;&#36164;&#38598;&#2224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AMTR-&#36130;&#21153;&#24037;&#20316;\0.26&#24180;&#39044;&#31639;&#24037;&#20316;-&#21313;&#20116;&#20116;&#37325;&#25490;\&#25968;&#25454;&#24213;&#31295;\1.0-7.&#22320;&#20135;&#38144;&#21806;&#35745;&#21010;&#21644;&#22320;&#20135;&#38144;&#21806;&#21450;&#32467;&#36716;&#34920;&#65288;&#21313;&#20116;&#20116;&#27979;&#31639;&#65289;202604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AMTR-&#36130;&#21153;&#24037;&#20316;\7.2025-2026&#24180;&#33891;&#20107;&#20250;\&#25968;&#25454;&#24213;&#31295;\&#38144;&#21806;&#29289;&#19994;&#37325;&#25490;\5.&#12304;26&#24180;&#33891;&#20107;&#20250;&#21475;&#24452;&#12305;&#27979;&#31639;&#25237;&#36164;&#27169;&#22411;V21-&#28023;&#27815;A&#39033;&#30446;-260213&#26356;&#260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AMTR-&#36130;&#21153;&#24037;&#20316;\0.26&#24180;&#39044;&#31639;&#24037;&#20316;-V9-26&#24180;&#30446;&#26631;&#21033;&#28070;&#24635;&#39069;6.7&#20159;%20-%20&#21313;&#20116;&#20116;&#35843;&#25972;%20-%20V2\&#9733;&#27719;&#25253;&#20998;&#31649;\&#23450;&#31295;\5.%20&#12304;&#28023;&#27815;A&#29854;&#30427;&#12305;&#39033;&#30446;&#30424;&#288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AMTR-&#36130;&#21153;&#24037;&#20316;\0.26&#24180;&#39044;&#31639;&#24037;&#20316;-V9-26&#24180;&#30446;&#26631;&#21033;&#28070;&#24635;&#39069;6.7&#20159;%20-%20&#21313;&#20116;&#20116;&#35843;&#25972;%20-%20V2\&#9733;&#27719;&#25253;&#20998;&#31649;\&#36135;&#20540;&#24213;&#31295;\&#25353;&#20303;&#23429;95%25&#20572;&#27490;&#35745;&#24687;&#35843;&#25972;\&#36130;&#21153;&#36153;&#29992;&#35745;&#31639;-V2&#65288;&#24658;&#22025;&#65289;&#2591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销售物业-湿地公园"/>
      <sheetName val="销售物业-南部新城"/>
      <sheetName val="销售物业-海沧璞瑞"/>
      <sheetName val="销售物业-七星湾"/>
      <sheetName val="销售物业-海沧C璞盛2期"/>
      <sheetName val="附件1.兆兴相关"/>
      <sheetName val="附件2.长兴相关"/>
      <sheetName val="附件3.永嘉相关"/>
      <sheetName val="附件4.滨海相关"/>
      <sheetName val="附件5.恒嘉相关"/>
      <sheetName val="附件5.海沧璞瑞-建设房源150套"/>
      <sheetName val="关键节点"/>
      <sheetName val="动态成本"/>
      <sheetName val="销售费用-测算指标调整（支付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9">
          <cell r="D9">
            <v>781449.4</v>
          </cell>
          <cell r="E9">
            <v>1645721.51</v>
          </cell>
        </row>
        <row r="10">
          <cell r="D10">
            <v>13044728.15</v>
          </cell>
          <cell r="E10">
            <v>3897345.83</v>
          </cell>
        </row>
        <row r="11">
          <cell r="D11">
            <v>32735.54</v>
          </cell>
          <cell r="E11">
            <v>148101.79</v>
          </cell>
        </row>
        <row r="13">
          <cell r="D13">
            <v>-18183221.64</v>
          </cell>
          <cell r="E13">
            <v>-5080592.94</v>
          </cell>
        </row>
        <row r="28">
          <cell r="D28">
            <v>624000.06</v>
          </cell>
          <cell r="E28">
            <v>20036</v>
          </cell>
        </row>
        <row r="80">
          <cell r="C80">
            <v>590.459216581271</v>
          </cell>
        </row>
        <row r="81">
          <cell r="C81">
            <v>829.693833244281</v>
          </cell>
          <cell r="D81">
            <v>830.566433010519</v>
          </cell>
          <cell r="E81">
            <v>831.49203012189</v>
          </cell>
        </row>
        <row r="112">
          <cell r="B112">
            <v>0.022792396933755</v>
          </cell>
        </row>
        <row r="113">
          <cell r="D113">
            <v>999.494743764086</v>
          </cell>
          <cell r="E113">
            <v>1964.70623099411</v>
          </cell>
        </row>
        <row r="143">
          <cell r="J143">
            <v>14787295.87</v>
          </cell>
        </row>
      </sheetData>
      <sheetData sheetId="11"/>
      <sheetData sheetId="12">
        <row r="2">
          <cell r="G2" t="str">
            <v>竣备</v>
          </cell>
          <cell r="H2" t="str">
            <v>交付/开业</v>
          </cell>
          <cell r="I2" t="str">
            <v>交付
（合同约定）</v>
          </cell>
        </row>
        <row r="8">
          <cell r="G8">
            <v>46265</v>
          </cell>
          <cell r="H8" t="str">
            <v>住宅：2027/4/30
商业：2027/5/1</v>
          </cell>
          <cell r="I8">
            <v>46568</v>
          </cell>
        </row>
      </sheetData>
      <sheetData sheetId="13">
        <row r="10">
          <cell r="F10">
            <v>93435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-利润测算分析（汇总表）"/>
      <sheetName val="数据汇总"/>
      <sheetName val="1.0地产推售表"/>
      <sheetName val="测算1110"/>
      <sheetName val="1.1地产销售计划表"/>
      <sheetName val="1.2地产销售及结转表"/>
      <sheetName val="结转"/>
      <sheetName val="5.基础档案"/>
      <sheetName val="XL4钢筋(中途泵房)"/>
      <sheetName val="XL3钢筋(中途泵房)"/>
    </sheetNames>
    <sheetDataSet>
      <sheetData sheetId="0"/>
      <sheetData sheetId="1"/>
      <sheetData sheetId="2"/>
      <sheetData sheetId="3"/>
      <sheetData sheetId="4">
        <row r="1">
          <cell r="H1" t="str">
            <v>false</v>
          </cell>
        </row>
        <row r="5">
          <cell r="N5">
            <v>2838207253</v>
          </cell>
        </row>
        <row r="6">
          <cell r="N6">
            <v>134</v>
          </cell>
        </row>
        <row r="7">
          <cell r="N7">
            <v>39499.93</v>
          </cell>
        </row>
        <row r="8">
          <cell r="B8" t="str">
            <v>项目</v>
          </cell>
        </row>
        <row r="8">
          <cell r="G8" t="str">
            <v>地产推售业态标签</v>
          </cell>
          <cell r="H8" t="str">
            <v>销售计划</v>
          </cell>
        </row>
        <row r="8">
          <cell r="N8" t="str">
            <v>至2024年底已售</v>
          </cell>
        </row>
        <row r="8">
          <cell r="V8" t="str">
            <v>2025年合计</v>
          </cell>
          <cell r="W8" t="str">
            <v>2026年合计</v>
          </cell>
          <cell r="X8" t="str">
            <v>2027年合计</v>
          </cell>
          <cell r="Y8" t="str">
            <v>2028年合计</v>
          </cell>
          <cell r="Z8" t="str">
            <v>2029年合计</v>
          </cell>
          <cell r="AA8" t="str">
            <v>2030年合计</v>
          </cell>
          <cell r="AB8" t="str">
            <v>2031年及以后合计</v>
          </cell>
        </row>
        <row r="10">
          <cell r="B10" t="str">
            <v>湿地公园TOD项目</v>
          </cell>
        </row>
        <row r="10">
          <cell r="G10" t="str">
            <v>住宅-精装普宅</v>
          </cell>
          <cell r="H10" t="str">
            <v>套数（套）</v>
          </cell>
        </row>
        <row r="10">
          <cell r="N10">
            <v>453</v>
          </cell>
        </row>
        <row r="10">
          <cell r="V10">
            <v>127</v>
          </cell>
          <cell r="W10">
            <v>42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B11" t="str">
            <v>湿地公园TOD项目</v>
          </cell>
        </row>
        <row r="11">
          <cell r="G11" t="str">
            <v>住宅-毛坯普宅</v>
          </cell>
          <cell r="H11" t="str">
            <v>套数（套）</v>
          </cell>
        </row>
        <row r="11">
          <cell r="N11">
            <v>0</v>
          </cell>
        </row>
        <row r="11"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B12" t="str">
            <v>湿地公园TOD项目</v>
          </cell>
        </row>
        <row r="12">
          <cell r="G12" t="str">
            <v>住宅-精装非普宅</v>
          </cell>
          <cell r="H12" t="str">
            <v>套数（套）</v>
          </cell>
        </row>
        <row r="12">
          <cell r="N12">
            <v>319</v>
          </cell>
        </row>
        <row r="12">
          <cell r="V12">
            <v>107</v>
          </cell>
          <cell r="W12">
            <v>22</v>
          </cell>
          <cell r="X12">
            <v>134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B13" t="str">
            <v>湿地公园TOD项目</v>
          </cell>
        </row>
        <row r="13">
          <cell r="G13" t="str">
            <v>住宅-毛坯非普宅</v>
          </cell>
          <cell r="H13" t="str">
            <v>套数（套）</v>
          </cell>
        </row>
        <row r="13">
          <cell r="N13">
            <v>0</v>
          </cell>
        </row>
        <row r="13"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B14" t="str">
            <v>湿地公园TOD项目</v>
          </cell>
        </row>
        <row r="14">
          <cell r="G14" t="str">
            <v>住宅-毛坯非普宅</v>
          </cell>
          <cell r="H14" t="str">
            <v>套数（套）</v>
          </cell>
        </row>
        <row r="14">
          <cell r="N14">
            <v>0</v>
          </cell>
        </row>
        <row r="14"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B15" t="str">
            <v>湿地公园TOD项目</v>
          </cell>
        </row>
        <row r="15">
          <cell r="G15" t="str">
            <v>办公楼</v>
          </cell>
          <cell r="H15" t="str">
            <v>套数（套）</v>
          </cell>
        </row>
        <row r="15">
          <cell r="N15">
            <v>0</v>
          </cell>
        </row>
        <row r="15"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B16" t="str">
            <v>湿地公园TOD项目</v>
          </cell>
        </row>
        <row r="16">
          <cell r="G16" t="str">
            <v>商业</v>
          </cell>
          <cell r="H16" t="str">
            <v>套数（套）</v>
          </cell>
        </row>
        <row r="16">
          <cell r="N16">
            <v>0</v>
          </cell>
        </row>
        <row r="16"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B17" t="str">
            <v>湿地公园TOD项目</v>
          </cell>
        </row>
        <row r="17">
          <cell r="G17" t="str">
            <v>车位</v>
          </cell>
          <cell r="H17" t="str">
            <v>套数（套）</v>
          </cell>
        </row>
        <row r="17">
          <cell r="N17">
            <v>784</v>
          </cell>
        </row>
        <row r="17">
          <cell r="V17">
            <v>600</v>
          </cell>
          <cell r="W17">
            <v>103</v>
          </cell>
          <cell r="X17">
            <v>268</v>
          </cell>
          <cell r="Y17">
            <v>363</v>
          </cell>
          <cell r="Z17">
            <v>0</v>
          </cell>
          <cell r="AA17">
            <v>0</v>
          </cell>
          <cell r="AB17">
            <v>0</v>
          </cell>
        </row>
        <row r="18">
          <cell r="B18" t="str">
            <v>湿地公园TOD项目</v>
          </cell>
        </row>
        <row r="18">
          <cell r="G18" t="str">
            <v>住宅-精装普宅</v>
          </cell>
          <cell r="H18" t="str">
            <v>面积（㎡）</v>
          </cell>
        </row>
        <row r="18">
          <cell r="N18">
            <v>64535.5</v>
          </cell>
        </row>
        <row r="18">
          <cell r="V18">
            <v>18082.91</v>
          </cell>
          <cell r="W18">
            <v>5984.09000000001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B19" t="str">
            <v>湿地公园TOD项目</v>
          </cell>
        </row>
        <row r="19">
          <cell r="G19" t="str">
            <v>住宅-毛坯普宅</v>
          </cell>
          <cell r="H19" t="str">
            <v>面积（㎡）</v>
          </cell>
        </row>
        <row r="19">
          <cell r="N19">
            <v>0</v>
          </cell>
        </row>
        <row r="19"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B20" t="str">
            <v>湿地公园TOD项目</v>
          </cell>
        </row>
        <row r="20">
          <cell r="G20" t="str">
            <v>住宅-精装非普宅</v>
          </cell>
          <cell r="H20" t="str">
            <v>面积（㎡）</v>
          </cell>
        </row>
        <row r="20">
          <cell r="N20">
            <v>75858.42</v>
          </cell>
        </row>
        <row r="20">
          <cell r="V20">
            <v>21530.22</v>
          </cell>
          <cell r="W20">
            <v>4552.31000000001</v>
          </cell>
          <cell r="X20">
            <v>27678.26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B21" t="str">
            <v>湿地公园TOD项目</v>
          </cell>
        </row>
        <row r="21">
          <cell r="G21" t="str">
            <v>住宅-毛坯非普宅</v>
          </cell>
          <cell r="H21" t="str">
            <v>面积（㎡）</v>
          </cell>
        </row>
        <row r="21">
          <cell r="N21">
            <v>0</v>
          </cell>
        </row>
        <row r="21"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B22" t="str">
            <v>湿地公园TOD项目</v>
          </cell>
        </row>
        <row r="22">
          <cell r="G22" t="str">
            <v>住宅-毛坯非普宅</v>
          </cell>
          <cell r="H22" t="str">
            <v>面积（㎡）</v>
          </cell>
        </row>
        <row r="22">
          <cell r="N22">
            <v>0</v>
          </cell>
        </row>
        <row r="22"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B23" t="str">
            <v>湿地公园TOD项目</v>
          </cell>
        </row>
        <row r="23">
          <cell r="G23" t="str">
            <v>办公楼</v>
          </cell>
          <cell r="H23" t="str">
            <v>面积（㎡）</v>
          </cell>
        </row>
        <row r="23">
          <cell r="N23">
            <v>0</v>
          </cell>
        </row>
        <row r="23"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B24" t="str">
            <v>湿地公园TOD项目</v>
          </cell>
        </row>
        <row r="24">
          <cell r="G24" t="str">
            <v>商业</v>
          </cell>
          <cell r="H24" t="str">
            <v>面积（㎡）</v>
          </cell>
        </row>
        <row r="24">
          <cell r="N24">
            <v>0</v>
          </cell>
        </row>
        <row r="24"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B25" t="str">
            <v>湿地公园TOD项目</v>
          </cell>
        </row>
        <row r="25">
          <cell r="G25" t="str">
            <v>车位</v>
          </cell>
          <cell r="H25" t="str">
            <v>面积（㎡）</v>
          </cell>
        </row>
        <row r="25">
          <cell r="N25">
            <v>34523.51</v>
          </cell>
        </row>
        <row r="25">
          <cell r="V25">
            <v>23700.39</v>
          </cell>
          <cell r="W25">
            <v>4838.52</v>
          </cell>
          <cell r="X25">
            <v>11641.9799999997</v>
          </cell>
          <cell r="Y25">
            <v>15157.72</v>
          </cell>
          <cell r="Z25">
            <v>0</v>
          </cell>
          <cell r="AA25">
            <v>0</v>
          </cell>
          <cell r="AB25">
            <v>0</v>
          </cell>
        </row>
        <row r="26">
          <cell r="B26" t="str">
            <v>湿地公园TOD项目</v>
          </cell>
        </row>
        <row r="26">
          <cell r="G26" t="str">
            <v>住宅-精装普宅</v>
          </cell>
          <cell r="H26" t="str">
            <v>签约(元）</v>
          </cell>
        </row>
        <row r="26">
          <cell r="N26">
            <v>4153001865</v>
          </cell>
        </row>
        <row r="26">
          <cell r="V26">
            <v>1082076345</v>
          </cell>
          <cell r="W26">
            <v>318762195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B27" t="str">
            <v>湿地公园TOD项目</v>
          </cell>
        </row>
        <row r="27">
          <cell r="G27" t="str">
            <v>住宅-毛坯普宅</v>
          </cell>
          <cell r="H27" t="str">
            <v>签约(元）</v>
          </cell>
        </row>
        <row r="27">
          <cell r="N27">
            <v>0</v>
          </cell>
        </row>
        <row r="27"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B28" t="str">
            <v>湿地公园TOD项目</v>
          </cell>
        </row>
        <row r="28">
          <cell r="G28" t="str">
            <v>住宅-精装非普宅</v>
          </cell>
          <cell r="H28" t="str">
            <v>签约(元）</v>
          </cell>
        </row>
        <row r="28">
          <cell r="N28">
            <v>5287316666</v>
          </cell>
        </row>
        <row r="28">
          <cell r="V28">
            <v>1270050403</v>
          </cell>
          <cell r="W28">
            <v>262384194</v>
          </cell>
          <cell r="X28">
            <v>1658395601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B29" t="str">
            <v>湿地公园TOD项目</v>
          </cell>
        </row>
        <row r="29">
          <cell r="G29" t="str">
            <v>住宅-毛坯非普宅</v>
          </cell>
          <cell r="H29" t="str">
            <v>签约(元）</v>
          </cell>
        </row>
        <row r="29">
          <cell r="N29">
            <v>0</v>
          </cell>
        </row>
        <row r="29"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B30" t="str">
            <v>湿地公园TOD项目</v>
          </cell>
        </row>
        <row r="30">
          <cell r="G30" t="str">
            <v>住宅-毛坯非普宅</v>
          </cell>
          <cell r="H30" t="str">
            <v>签约(元）</v>
          </cell>
        </row>
        <row r="30">
          <cell r="N30">
            <v>0</v>
          </cell>
        </row>
        <row r="30"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B31" t="str">
            <v>湿地公园TOD项目</v>
          </cell>
        </row>
        <row r="31">
          <cell r="G31" t="str">
            <v>办公楼</v>
          </cell>
          <cell r="H31" t="str">
            <v>签约(元）</v>
          </cell>
        </row>
        <row r="31">
          <cell r="N31">
            <v>0</v>
          </cell>
        </row>
        <row r="31"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B32" t="str">
            <v>湿地公园TOD项目</v>
          </cell>
        </row>
        <row r="32">
          <cell r="G32" t="str">
            <v>商业</v>
          </cell>
          <cell r="H32" t="str">
            <v>签约(元）</v>
          </cell>
        </row>
        <row r="32">
          <cell r="N32">
            <v>0</v>
          </cell>
        </row>
        <row r="32"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B33" t="str">
            <v>湿地公园TOD项目</v>
          </cell>
        </row>
        <row r="33">
          <cell r="G33" t="str">
            <v>车位</v>
          </cell>
          <cell r="H33" t="str">
            <v>签约(元）</v>
          </cell>
        </row>
        <row r="33">
          <cell r="N33">
            <v>330610000</v>
          </cell>
        </row>
        <row r="33">
          <cell r="V33">
            <v>95600000</v>
          </cell>
          <cell r="W33">
            <v>19000000</v>
          </cell>
          <cell r="X33">
            <v>60321511</v>
          </cell>
          <cell r="Y33">
            <v>81488489</v>
          </cell>
          <cell r="Z33">
            <v>0</v>
          </cell>
          <cell r="AA33">
            <v>0</v>
          </cell>
          <cell r="AB33">
            <v>0</v>
          </cell>
        </row>
        <row r="34">
          <cell r="B34" t="str">
            <v>湿地公园TOD项目</v>
          </cell>
        </row>
        <row r="34">
          <cell r="G34" t="str">
            <v>住宅-精装普宅</v>
          </cell>
          <cell r="H34" t="str">
            <v>回款含税(元）</v>
          </cell>
        </row>
        <row r="34">
          <cell r="N34">
            <v>4053074300</v>
          </cell>
        </row>
        <row r="34">
          <cell r="V34">
            <v>1165675800</v>
          </cell>
          <cell r="W34">
            <v>310013407.000001</v>
          </cell>
          <cell r="X34">
            <v>25076898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湿地公园TOD项目</v>
          </cell>
        </row>
        <row r="35">
          <cell r="G35" t="str">
            <v>住宅-毛坯普宅</v>
          </cell>
          <cell r="H35" t="str">
            <v>回款含税(元）</v>
          </cell>
        </row>
        <row r="35">
          <cell r="N35">
            <v>0</v>
          </cell>
        </row>
        <row r="35"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B36" t="str">
            <v>湿地公园TOD项目</v>
          </cell>
        </row>
        <row r="36">
          <cell r="G36" t="str">
            <v>住宅-精装非普宅</v>
          </cell>
          <cell r="H36" t="str">
            <v>回款含税(元）</v>
          </cell>
        </row>
        <row r="36">
          <cell r="N36">
            <v>5009280000</v>
          </cell>
        </row>
        <row r="36">
          <cell r="V36">
            <v>1530018200</v>
          </cell>
          <cell r="W36">
            <v>256512658</v>
          </cell>
          <cell r="X36">
            <v>1572377801</v>
          </cell>
          <cell r="Y36">
            <v>109958205</v>
          </cell>
          <cell r="Z36">
            <v>0</v>
          </cell>
          <cell r="AA36">
            <v>0</v>
          </cell>
          <cell r="AB36">
            <v>0</v>
          </cell>
        </row>
        <row r="37">
          <cell r="B37" t="str">
            <v>湿地公园TOD项目</v>
          </cell>
        </row>
        <row r="37">
          <cell r="G37" t="str">
            <v>住宅-毛坯非普宅</v>
          </cell>
          <cell r="H37" t="str">
            <v>回款含税(元）</v>
          </cell>
        </row>
        <row r="37">
          <cell r="N37">
            <v>0</v>
          </cell>
        </row>
        <row r="37"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湿地公园TOD项目</v>
          </cell>
        </row>
        <row r="38">
          <cell r="G38" t="str">
            <v>住宅-毛坯非普宅</v>
          </cell>
          <cell r="H38" t="str">
            <v>回款含税(元）</v>
          </cell>
        </row>
        <row r="38">
          <cell r="N38">
            <v>0</v>
          </cell>
        </row>
        <row r="38"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B39" t="str">
            <v>湿地公园TOD项目</v>
          </cell>
        </row>
        <row r="39">
          <cell r="G39" t="str">
            <v>办公楼</v>
          </cell>
          <cell r="H39" t="str">
            <v>回款含税(元）</v>
          </cell>
        </row>
        <row r="39">
          <cell r="N39">
            <v>0</v>
          </cell>
        </row>
        <row r="39"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湿地公园TOD项目</v>
          </cell>
        </row>
        <row r="40">
          <cell r="G40" t="str">
            <v>商业</v>
          </cell>
          <cell r="H40" t="str">
            <v>回款含税(元）</v>
          </cell>
        </row>
        <row r="40">
          <cell r="N40">
            <v>0</v>
          </cell>
        </row>
        <row r="40"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B41" t="str">
            <v>湿地公园TOD项目</v>
          </cell>
        </row>
        <row r="41">
          <cell r="G41" t="str">
            <v>车位</v>
          </cell>
          <cell r="H41" t="str">
            <v>回款含税(元）</v>
          </cell>
        </row>
        <row r="41">
          <cell r="N41">
            <v>325610000</v>
          </cell>
        </row>
        <row r="41">
          <cell r="V41">
            <v>100320000</v>
          </cell>
          <cell r="W41">
            <v>18370000</v>
          </cell>
          <cell r="X41">
            <v>57570754</v>
          </cell>
          <cell r="Y41">
            <v>85149246</v>
          </cell>
          <cell r="Z41">
            <v>0</v>
          </cell>
          <cell r="AA41">
            <v>0</v>
          </cell>
          <cell r="AB41">
            <v>0</v>
          </cell>
        </row>
        <row r="42">
          <cell r="B42" t="str">
            <v>湿地公园TOD项目</v>
          </cell>
        </row>
        <row r="42">
          <cell r="G42" t="str">
            <v>住宅-精装普宅</v>
          </cell>
          <cell r="H42" t="str">
            <v>回款含税(元）（非贷款类回款）</v>
          </cell>
        </row>
        <row r="42">
          <cell r="N42">
            <v>2018319300</v>
          </cell>
        </row>
        <row r="42">
          <cell r="V42">
            <v>929746800</v>
          </cell>
          <cell r="W42">
            <v>162063651.000001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湿地公园TOD项目</v>
          </cell>
        </row>
        <row r="43">
          <cell r="G43" t="str">
            <v>住宅-毛坯普宅</v>
          </cell>
          <cell r="H43" t="str">
            <v>回款含税(元）（非贷款类回款）</v>
          </cell>
        </row>
        <row r="43">
          <cell r="N43">
            <v>0</v>
          </cell>
        </row>
        <row r="43"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湿地公园TOD项目</v>
          </cell>
        </row>
        <row r="44">
          <cell r="G44" t="str">
            <v>住宅-精装非普宅</v>
          </cell>
          <cell r="H44" t="str">
            <v>回款含税(元）（非贷款类回款）</v>
          </cell>
        </row>
        <row r="44">
          <cell r="N44">
            <v>2693840000</v>
          </cell>
        </row>
        <row r="44">
          <cell r="V44">
            <v>1054268200</v>
          </cell>
          <cell r="W44">
            <v>145122658</v>
          </cell>
          <cell r="X44">
            <v>829197801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B45" t="str">
            <v>湿地公园TOD项目</v>
          </cell>
        </row>
        <row r="45">
          <cell r="G45" t="str">
            <v>住宅-毛坯非普宅</v>
          </cell>
          <cell r="H45" t="str">
            <v>回款含税(元）（非贷款类回款）</v>
          </cell>
        </row>
        <row r="45">
          <cell r="N45">
            <v>0</v>
          </cell>
        </row>
        <row r="45"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B46" t="str">
            <v>湿地公园TOD项目</v>
          </cell>
        </row>
        <row r="46">
          <cell r="G46" t="str">
            <v>住宅-毛坯非普宅</v>
          </cell>
          <cell r="H46" t="str">
            <v>回款含税(元）（非贷款类回款）</v>
          </cell>
        </row>
        <row r="46">
          <cell r="N46">
            <v>0</v>
          </cell>
        </row>
        <row r="46"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B47" t="str">
            <v>湿地公园TOD项目</v>
          </cell>
        </row>
        <row r="47">
          <cell r="G47" t="str">
            <v>办公楼</v>
          </cell>
          <cell r="H47" t="str">
            <v>回款含税(元）（非贷款类回款）</v>
          </cell>
        </row>
        <row r="47">
          <cell r="N47">
            <v>0</v>
          </cell>
        </row>
        <row r="47"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湿地公园TOD项目</v>
          </cell>
        </row>
        <row r="48">
          <cell r="G48" t="str">
            <v>商业</v>
          </cell>
          <cell r="H48" t="str">
            <v>回款含税(元）（非贷款类回款）</v>
          </cell>
        </row>
        <row r="48">
          <cell r="N48">
            <v>0</v>
          </cell>
        </row>
        <row r="48"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B49" t="str">
            <v>湿地公园TOD项目</v>
          </cell>
        </row>
        <row r="49">
          <cell r="G49" t="str">
            <v>车位</v>
          </cell>
          <cell r="H49" t="str">
            <v>回款含税(元）（非贷款类回款）</v>
          </cell>
        </row>
        <row r="49">
          <cell r="N49">
            <v>244505000</v>
          </cell>
        </row>
        <row r="49">
          <cell r="V49">
            <v>93470000</v>
          </cell>
          <cell r="W49">
            <v>12170000</v>
          </cell>
          <cell r="X49">
            <v>30160754</v>
          </cell>
          <cell r="Y49">
            <v>40744245</v>
          </cell>
          <cell r="Z49">
            <v>0</v>
          </cell>
          <cell r="AA49">
            <v>0</v>
          </cell>
          <cell r="AB49">
            <v>0</v>
          </cell>
        </row>
        <row r="50">
          <cell r="B50" t="str">
            <v>湿地公园TOD项目</v>
          </cell>
        </row>
        <row r="50">
          <cell r="G50" t="str">
            <v>住宅-精装普宅</v>
          </cell>
          <cell r="H50" t="str">
            <v>回款含税(元）（贷款类回款）</v>
          </cell>
        </row>
        <row r="50">
          <cell r="N50">
            <v>2034755000</v>
          </cell>
        </row>
        <row r="50">
          <cell r="V50">
            <v>235929000</v>
          </cell>
          <cell r="W50">
            <v>147949756</v>
          </cell>
          <cell r="X50">
            <v>25076898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B51" t="str">
            <v>湿地公园TOD项目</v>
          </cell>
        </row>
        <row r="51">
          <cell r="G51" t="str">
            <v>住宅-毛坯普宅</v>
          </cell>
          <cell r="H51" t="str">
            <v>回款含税(元）（贷款类回款）</v>
          </cell>
        </row>
        <row r="51">
          <cell r="N51">
            <v>0</v>
          </cell>
        </row>
        <row r="51"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B52" t="str">
            <v>湿地公园TOD项目</v>
          </cell>
        </row>
        <row r="52">
          <cell r="G52" t="str">
            <v>住宅-精装非普宅</v>
          </cell>
          <cell r="H52" t="str">
            <v>回款含税(元）（贷款类回款）</v>
          </cell>
        </row>
        <row r="52">
          <cell r="N52">
            <v>2315440000</v>
          </cell>
        </row>
        <row r="52">
          <cell r="V52">
            <v>475750000</v>
          </cell>
          <cell r="W52">
            <v>111390000</v>
          </cell>
          <cell r="X52">
            <v>743180000</v>
          </cell>
          <cell r="Y52">
            <v>109958205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湿地公园TOD项目</v>
          </cell>
        </row>
        <row r="53">
          <cell r="G53" t="str">
            <v>住宅-毛坯非普宅</v>
          </cell>
          <cell r="H53" t="str">
            <v>回款含税(元）（贷款类回款）</v>
          </cell>
        </row>
        <row r="53">
          <cell r="N53">
            <v>0</v>
          </cell>
        </row>
        <row r="53"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湿地公园TOD项目</v>
          </cell>
        </row>
        <row r="54">
          <cell r="G54" t="str">
            <v>住宅-毛坯非普宅</v>
          </cell>
          <cell r="H54" t="str">
            <v>回款含税(元）（贷款类回款）</v>
          </cell>
        </row>
        <row r="54">
          <cell r="N54">
            <v>0</v>
          </cell>
        </row>
        <row r="54"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湿地公园TOD项目</v>
          </cell>
        </row>
        <row r="55">
          <cell r="G55" t="str">
            <v>办公楼</v>
          </cell>
          <cell r="H55" t="str">
            <v>回款含税(元）（贷款类回款）</v>
          </cell>
        </row>
        <row r="55">
          <cell r="N55">
            <v>0</v>
          </cell>
        </row>
        <row r="55"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B56" t="str">
            <v>湿地公园TOD项目</v>
          </cell>
        </row>
        <row r="56">
          <cell r="G56" t="str">
            <v>商业</v>
          </cell>
          <cell r="H56" t="str">
            <v>回款含税(元）（贷款类回款）</v>
          </cell>
        </row>
        <row r="56">
          <cell r="N56">
            <v>0</v>
          </cell>
        </row>
        <row r="56"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B57" t="str">
            <v>湿地公园TOD项目</v>
          </cell>
        </row>
        <row r="57">
          <cell r="G57" t="str">
            <v>车位</v>
          </cell>
          <cell r="H57" t="str">
            <v>回款含税(元）（贷款类回款）</v>
          </cell>
        </row>
        <row r="57">
          <cell r="N57">
            <v>81105000</v>
          </cell>
        </row>
        <row r="57">
          <cell r="V57">
            <v>6850000</v>
          </cell>
          <cell r="W57">
            <v>6200000</v>
          </cell>
          <cell r="X57">
            <v>27410000</v>
          </cell>
          <cell r="Y57">
            <v>44405001</v>
          </cell>
          <cell r="Z57">
            <v>0</v>
          </cell>
          <cell r="AA57">
            <v>0</v>
          </cell>
          <cell r="AB57">
            <v>0</v>
          </cell>
        </row>
        <row r="58">
          <cell r="B58" t="str">
            <v>湿地公园TOD项目（一期）</v>
          </cell>
        </row>
        <row r="58">
          <cell r="G58" t="str">
            <v>住宅-精装普宅</v>
          </cell>
          <cell r="H58" t="str">
            <v>套数（套）</v>
          </cell>
        </row>
        <row r="58">
          <cell r="N58">
            <v>415</v>
          </cell>
        </row>
        <row r="58">
          <cell r="V58">
            <v>91</v>
          </cell>
          <cell r="W58">
            <v>4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B59" t="str">
            <v>湿地公园TOD项目（一期）</v>
          </cell>
        </row>
        <row r="59">
          <cell r="G59" t="str">
            <v>住宅-毛坯普宅</v>
          </cell>
          <cell r="H59" t="str">
            <v>套数（套）</v>
          </cell>
        </row>
        <row r="59"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B60" t="str">
            <v>湿地公园TOD项目（一期）</v>
          </cell>
        </row>
        <row r="60">
          <cell r="G60" t="str">
            <v>住宅-精装非普宅</v>
          </cell>
          <cell r="H60" t="str">
            <v>套数（套）</v>
          </cell>
        </row>
        <row r="60">
          <cell r="N60">
            <v>202</v>
          </cell>
        </row>
        <row r="60">
          <cell r="V60">
            <v>96</v>
          </cell>
          <cell r="W60">
            <v>16</v>
          </cell>
          <cell r="X60">
            <v>98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B61" t="str">
            <v>湿地公园TOD项目（一期）</v>
          </cell>
        </row>
        <row r="61">
          <cell r="G61" t="str">
            <v>住宅-毛坯非普宅</v>
          </cell>
          <cell r="H61" t="str">
            <v>套数（套）</v>
          </cell>
        </row>
        <row r="61"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B62" t="str">
            <v>湿地公园TOD项目（一期）</v>
          </cell>
        </row>
        <row r="62">
          <cell r="G62" t="str">
            <v>住宅-毛坯非普宅</v>
          </cell>
          <cell r="H62" t="str">
            <v>套数（套）</v>
          </cell>
        </row>
        <row r="62"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B63" t="str">
            <v>湿地公园TOD项目（一期）</v>
          </cell>
        </row>
        <row r="63">
          <cell r="G63" t="str">
            <v>办公楼</v>
          </cell>
          <cell r="H63" t="str">
            <v>套数（套）</v>
          </cell>
        </row>
        <row r="63"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B64" t="str">
            <v>湿地公园TOD项目（一期）</v>
          </cell>
        </row>
        <row r="64">
          <cell r="G64" t="str">
            <v>商业</v>
          </cell>
          <cell r="H64" t="str">
            <v>套数（套）</v>
          </cell>
        </row>
        <row r="64"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B65" t="str">
            <v>湿地公园TOD项目（一期）</v>
          </cell>
        </row>
        <row r="65">
          <cell r="G65" t="str">
            <v>车位</v>
          </cell>
          <cell r="H65" t="str">
            <v>套数（套）</v>
          </cell>
        </row>
        <row r="65">
          <cell r="N65">
            <v>528</v>
          </cell>
        </row>
        <row r="65">
          <cell r="V65">
            <v>525</v>
          </cell>
          <cell r="W65">
            <v>40</v>
          </cell>
          <cell r="X65">
            <v>196</v>
          </cell>
          <cell r="Y65">
            <v>302</v>
          </cell>
          <cell r="Z65">
            <v>0</v>
          </cell>
          <cell r="AA65">
            <v>0</v>
          </cell>
          <cell r="AB65">
            <v>0</v>
          </cell>
        </row>
        <row r="66">
          <cell r="B66" t="str">
            <v>湿地公园TOD项目（一期）</v>
          </cell>
        </row>
        <row r="66">
          <cell r="G66" t="str">
            <v>住宅-精装普宅</v>
          </cell>
          <cell r="H66" t="str">
            <v>面积（㎡）</v>
          </cell>
        </row>
        <row r="66">
          <cell r="N66">
            <v>59110.64</v>
          </cell>
        </row>
        <row r="66">
          <cell r="V66">
            <v>12949.22</v>
          </cell>
          <cell r="W66">
            <v>557.440000000017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B67" t="str">
            <v>湿地公园TOD项目（一期）</v>
          </cell>
        </row>
        <row r="67">
          <cell r="G67" t="str">
            <v>住宅-毛坯普宅</v>
          </cell>
          <cell r="H67" t="str">
            <v>面积（㎡）</v>
          </cell>
        </row>
        <row r="67"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B68" t="str">
            <v>湿地公园TOD项目（一期）</v>
          </cell>
        </row>
        <row r="68">
          <cell r="G68" t="str">
            <v>住宅-精装非普宅</v>
          </cell>
          <cell r="H68" t="str">
            <v>面积（㎡）</v>
          </cell>
        </row>
        <row r="68">
          <cell r="N68">
            <v>40275.76</v>
          </cell>
        </row>
        <row r="68">
          <cell r="V68">
            <v>19004.3</v>
          </cell>
          <cell r="W68">
            <v>3160.96</v>
          </cell>
          <cell r="X68">
            <v>19330.42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B69" t="str">
            <v>湿地公园TOD项目（一期）</v>
          </cell>
        </row>
        <row r="69">
          <cell r="G69" t="str">
            <v>住宅-毛坯非普宅</v>
          </cell>
          <cell r="H69" t="str">
            <v>面积（㎡）</v>
          </cell>
        </row>
        <row r="69"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B70" t="str">
            <v>湿地公园TOD项目（一期）</v>
          </cell>
        </row>
        <row r="70">
          <cell r="G70" t="str">
            <v>住宅-毛坯非普宅</v>
          </cell>
          <cell r="H70" t="str">
            <v>面积（㎡）</v>
          </cell>
        </row>
        <row r="70"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B71" t="str">
            <v>湿地公园TOD项目（一期）</v>
          </cell>
        </row>
        <row r="71">
          <cell r="G71" t="str">
            <v>办公楼</v>
          </cell>
          <cell r="H71" t="str">
            <v>面积（㎡）</v>
          </cell>
        </row>
        <row r="71"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B72" t="str">
            <v>湿地公园TOD项目（一期）</v>
          </cell>
        </row>
        <row r="72">
          <cell r="G72" t="str">
            <v>商业</v>
          </cell>
          <cell r="H72" t="str">
            <v>面积（㎡）</v>
          </cell>
        </row>
        <row r="72"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B73" t="str">
            <v>湿地公园TOD项目（一期）</v>
          </cell>
        </row>
        <row r="73">
          <cell r="G73" t="str">
            <v>车位</v>
          </cell>
          <cell r="H73" t="str">
            <v>面积（㎡）</v>
          </cell>
        </row>
        <row r="73">
          <cell r="N73">
            <v>21260.34</v>
          </cell>
        </row>
        <row r="73">
          <cell r="V73">
            <v>20457.29</v>
          </cell>
          <cell r="W73">
            <v>1555.88</v>
          </cell>
          <cell r="X73">
            <v>7633.25999999974</v>
          </cell>
          <cell r="Y73">
            <v>11761.44</v>
          </cell>
          <cell r="Z73">
            <v>0</v>
          </cell>
          <cell r="AA73">
            <v>0</v>
          </cell>
          <cell r="AB73">
            <v>0</v>
          </cell>
        </row>
        <row r="74">
          <cell r="B74" t="str">
            <v>湿地公园TOD项目（一期）</v>
          </cell>
        </row>
        <row r="74">
          <cell r="G74" t="str">
            <v>住宅-精装普宅</v>
          </cell>
          <cell r="H74" t="str">
            <v>签约(元）</v>
          </cell>
        </row>
        <row r="74">
          <cell r="N74">
            <v>3777256672</v>
          </cell>
        </row>
        <row r="74">
          <cell r="V74">
            <v>776752777</v>
          </cell>
          <cell r="W74">
            <v>28796576.9999997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B75" t="str">
            <v>湿地公园TOD项目（一期）</v>
          </cell>
        </row>
        <row r="75">
          <cell r="G75" t="str">
            <v>住宅-毛坯普宅</v>
          </cell>
          <cell r="H75" t="str">
            <v>签约(元）</v>
          </cell>
        </row>
        <row r="75"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B76" t="str">
            <v>湿地公园TOD项目（一期）</v>
          </cell>
        </row>
        <row r="76">
          <cell r="G76" t="str">
            <v>住宅-精装非普宅</v>
          </cell>
          <cell r="H76" t="str">
            <v>签约(元）</v>
          </cell>
        </row>
        <row r="76">
          <cell r="N76">
            <v>2698475548</v>
          </cell>
        </row>
        <row r="76">
          <cell r="V76">
            <v>1108067884</v>
          </cell>
          <cell r="W76">
            <v>175000578</v>
          </cell>
          <cell r="X76">
            <v>1134093901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B77" t="str">
            <v>湿地公园TOD项目（一期）</v>
          </cell>
        </row>
        <row r="77">
          <cell r="G77" t="str">
            <v>住宅-毛坯非普宅</v>
          </cell>
          <cell r="H77" t="str">
            <v>签约(元）</v>
          </cell>
        </row>
        <row r="77"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B78" t="str">
            <v>湿地公园TOD项目（一期）</v>
          </cell>
        </row>
        <row r="78">
          <cell r="G78" t="str">
            <v>住宅-毛坯非普宅</v>
          </cell>
          <cell r="H78" t="str">
            <v>签约(元）</v>
          </cell>
        </row>
        <row r="78"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B79" t="str">
            <v>湿地公园TOD项目（一期）</v>
          </cell>
        </row>
        <row r="79">
          <cell r="G79" t="str">
            <v>办公楼</v>
          </cell>
          <cell r="H79" t="str">
            <v>签约(元）</v>
          </cell>
        </row>
        <row r="79"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B80" t="str">
            <v>湿地公园TOD项目（一期）</v>
          </cell>
        </row>
        <row r="80">
          <cell r="G80" t="str">
            <v>商业</v>
          </cell>
          <cell r="H80" t="str">
            <v>签约(元）</v>
          </cell>
        </row>
        <row r="80"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B81" t="str">
            <v>湿地公园TOD项目（一期）</v>
          </cell>
        </row>
        <row r="81">
          <cell r="G81" t="str">
            <v>车位</v>
          </cell>
          <cell r="H81" t="str">
            <v>签约(元）</v>
          </cell>
        </row>
        <row r="81">
          <cell r="N81">
            <v>209650000</v>
          </cell>
        </row>
        <row r="81">
          <cell r="V81">
            <v>81140000</v>
          </cell>
          <cell r="W81">
            <v>7200000</v>
          </cell>
          <cell r="X81">
            <v>43804819</v>
          </cell>
          <cell r="Y81">
            <v>67495181</v>
          </cell>
          <cell r="Z81">
            <v>0</v>
          </cell>
          <cell r="AA81">
            <v>0</v>
          </cell>
          <cell r="AB81">
            <v>0</v>
          </cell>
        </row>
        <row r="82">
          <cell r="B82" t="str">
            <v>湿地公园TOD项目（一期）</v>
          </cell>
        </row>
        <row r="82">
          <cell r="G82" t="str">
            <v>住宅-精装普宅</v>
          </cell>
          <cell r="H82" t="str">
            <v>回款含税(元）</v>
          </cell>
        </row>
        <row r="82">
          <cell r="N82">
            <v>3697259100</v>
          </cell>
        </row>
        <row r="82">
          <cell r="V82">
            <v>851412100</v>
          </cell>
          <cell r="W82">
            <v>34134826.0000006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B83" t="str">
            <v>湿地公园TOD项目（一期）</v>
          </cell>
        </row>
        <row r="83">
          <cell r="G83" t="str">
            <v>住宅-毛坯普宅</v>
          </cell>
          <cell r="H83" t="str">
            <v>回款含税(元）</v>
          </cell>
        </row>
        <row r="83">
          <cell r="N83">
            <v>0</v>
          </cell>
        </row>
        <row r="83"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B84" t="str">
            <v>湿地公园TOD项目（一期）</v>
          </cell>
        </row>
        <row r="84">
          <cell r="G84" t="str">
            <v>住宅-精装非普宅</v>
          </cell>
          <cell r="H84" t="str">
            <v>回款含税(元）</v>
          </cell>
        </row>
        <row r="84">
          <cell r="N84">
            <v>2488418200</v>
          </cell>
        </row>
        <row r="84">
          <cell r="V84">
            <v>1309735700</v>
          </cell>
          <cell r="W84">
            <v>168180850</v>
          </cell>
          <cell r="X84">
            <v>1071366951</v>
          </cell>
          <cell r="Y84">
            <v>77936210.0000002</v>
          </cell>
          <cell r="Z84">
            <v>0</v>
          </cell>
          <cell r="AA84">
            <v>0</v>
          </cell>
          <cell r="AB84">
            <v>0</v>
          </cell>
        </row>
        <row r="85">
          <cell r="B85" t="str">
            <v>湿地公园TOD项目（一期）</v>
          </cell>
        </row>
        <row r="85">
          <cell r="G85" t="str">
            <v>住宅-毛坯非普宅</v>
          </cell>
          <cell r="H85" t="str">
            <v>回款含税(元）</v>
          </cell>
        </row>
        <row r="85">
          <cell r="N85">
            <v>0</v>
          </cell>
        </row>
        <row r="85"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B86" t="str">
            <v>湿地公园TOD项目（一期）</v>
          </cell>
        </row>
        <row r="86">
          <cell r="G86" t="str">
            <v>住宅-毛坯非普宅</v>
          </cell>
          <cell r="H86" t="str">
            <v>回款含税(元）</v>
          </cell>
        </row>
        <row r="86">
          <cell r="N86">
            <v>0</v>
          </cell>
        </row>
        <row r="86"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B87" t="str">
            <v>湿地公园TOD项目（一期）</v>
          </cell>
        </row>
        <row r="87">
          <cell r="G87" t="str">
            <v>办公楼</v>
          </cell>
          <cell r="H87" t="str">
            <v>回款含税(元）</v>
          </cell>
        </row>
        <row r="87">
          <cell r="N87">
            <v>0</v>
          </cell>
        </row>
        <row r="87"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B88" t="str">
            <v>湿地公园TOD项目（一期）</v>
          </cell>
        </row>
        <row r="88">
          <cell r="G88" t="str">
            <v>商业</v>
          </cell>
          <cell r="H88" t="str">
            <v>回款含税(元）</v>
          </cell>
        </row>
        <row r="88">
          <cell r="N88">
            <v>0</v>
          </cell>
        </row>
        <row r="88"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B89" t="str">
            <v>湿地公园TOD项目（一期）</v>
          </cell>
        </row>
        <row r="89">
          <cell r="G89" t="str">
            <v>车位</v>
          </cell>
          <cell r="H89" t="str">
            <v>回款含税(元）</v>
          </cell>
        </row>
        <row r="89">
          <cell r="N89">
            <v>206390000</v>
          </cell>
        </row>
        <row r="89">
          <cell r="V89">
            <v>84220000</v>
          </cell>
          <cell r="W89">
            <v>7190000</v>
          </cell>
          <cell r="X89">
            <v>41342406</v>
          </cell>
          <cell r="Y89">
            <v>70147594</v>
          </cell>
          <cell r="Z89">
            <v>0</v>
          </cell>
          <cell r="AA89">
            <v>0</v>
          </cell>
          <cell r="AB89">
            <v>0</v>
          </cell>
        </row>
        <row r="90">
          <cell r="B90" t="str">
            <v>湿地公园TOD项目（一期）</v>
          </cell>
        </row>
        <row r="90">
          <cell r="G90" t="str">
            <v>住宅-精装普宅</v>
          </cell>
          <cell r="H90" t="str">
            <v>回款含税(元）（非贷款类回款）</v>
          </cell>
        </row>
        <row r="90">
          <cell r="N90">
            <v>1880044100</v>
          </cell>
        </row>
        <row r="90">
          <cell r="V90">
            <v>681473100</v>
          </cell>
          <cell r="W90">
            <v>17464826.0000006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B91" t="str">
            <v>湿地公园TOD项目（一期）</v>
          </cell>
        </row>
        <row r="91">
          <cell r="G91" t="str">
            <v>住宅-毛坯普宅</v>
          </cell>
          <cell r="H91" t="str">
            <v>回款含税(元）（非贷款类回款）</v>
          </cell>
        </row>
        <row r="91"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B92" t="str">
            <v>湿地公园TOD项目（一期）</v>
          </cell>
        </row>
        <row r="92">
          <cell r="G92" t="str">
            <v>住宅-精装非普宅</v>
          </cell>
          <cell r="H92" t="str">
            <v>回款含税(元）（非贷款类回款）</v>
          </cell>
        </row>
        <row r="92">
          <cell r="N92">
            <v>1365498200</v>
          </cell>
        </row>
        <row r="92">
          <cell r="V92">
            <v>924535700</v>
          </cell>
          <cell r="W92">
            <v>101430850</v>
          </cell>
          <cell r="X92">
            <v>567046951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B93" t="str">
            <v>湿地公园TOD项目（一期）</v>
          </cell>
        </row>
        <row r="93">
          <cell r="G93" t="str">
            <v>住宅-毛坯非普宅</v>
          </cell>
          <cell r="H93" t="str">
            <v>回款含税(元）（非贷款类回款）</v>
          </cell>
        </row>
        <row r="93"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B94" t="str">
            <v>湿地公园TOD项目（一期）</v>
          </cell>
        </row>
        <row r="94">
          <cell r="G94" t="str">
            <v>住宅-毛坯非普宅</v>
          </cell>
          <cell r="H94" t="str">
            <v>回款含税(元）（非贷款类回款）</v>
          </cell>
        </row>
        <row r="94"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B95" t="str">
            <v>湿地公园TOD项目（一期）</v>
          </cell>
        </row>
        <row r="95">
          <cell r="G95" t="str">
            <v>办公楼</v>
          </cell>
          <cell r="H95" t="str">
            <v>回款含税(元）（非贷款类回款）</v>
          </cell>
        </row>
        <row r="95"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B96" t="str">
            <v>湿地公园TOD项目（一期）</v>
          </cell>
        </row>
        <row r="96">
          <cell r="G96" t="str">
            <v>商业</v>
          </cell>
          <cell r="H96" t="str">
            <v>回款含税(元）（非贷款类回款）</v>
          </cell>
        </row>
        <row r="96"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B97" t="str">
            <v>湿地公园TOD项目（一期）</v>
          </cell>
        </row>
        <row r="97">
          <cell r="G97" t="str">
            <v>车位</v>
          </cell>
          <cell r="H97" t="str">
            <v>回款含税(元）（非贷款类回款）</v>
          </cell>
        </row>
        <row r="97">
          <cell r="N97">
            <v>148185000</v>
          </cell>
        </row>
        <row r="97">
          <cell r="V97">
            <v>79250000</v>
          </cell>
          <cell r="W97">
            <v>5210000</v>
          </cell>
          <cell r="X97">
            <v>21902406</v>
          </cell>
          <cell r="Y97">
            <v>33747591</v>
          </cell>
          <cell r="Z97">
            <v>0</v>
          </cell>
          <cell r="AA97">
            <v>0</v>
          </cell>
          <cell r="AB97">
            <v>0</v>
          </cell>
        </row>
        <row r="98">
          <cell r="B98" t="str">
            <v>湿地公园TOD项目（一期）</v>
          </cell>
        </row>
        <row r="98">
          <cell r="G98" t="str">
            <v>住宅-精装普宅</v>
          </cell>
          <cell r="H98" t="str">
            <v>回款含税(元）（贷款类回款）</v>
          </cell>
        </row>
        <row r="98">
          <cell r="N98">
            <v>1817215000</v>
          </cell>
        </row>
        <row r="98">
          <cell r="V98">
            <v>169939000</v>
          </cell>
          <cell r="W98">
            <v>16670000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9">
          <cell r="B99" t="str">
            <v>湿地公园TOD项目（一期）</v>
          </cell>
        </row>
        <row r="99">
          <cell r="G99" t="str">
            <v>住宅-毛坯普宅</v>
          </cell>
          <cell r="H99" t="str">
            <v>回款含税(元）（贷款类回款）</v>
          </cell>
        </row>
        <row r="99"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B100" t="str">
            <v>湿地公园TOD项目（一期）</v>
          </cell>
        </row>
        <row r="100">
          <cell r="G100" t="str">
            <v>住宅-精装非普宅</v>
          </cell>
          <cell r="H100" t="str">
            <v>回款含税(元）（贷款类回款）</v>
          </cell>
        </row>
        <row r="100">
          <cell r="N100">
            <v>1122920000</v>
          </cell>
        </row>
        <row r="100">
          <cell r="V100">
            <v>385200000</v>
          </cell>
          <cell r="W100">
            <v>66750000</v>
          </cell>
          <cell r="X100">
            <v>504320000</v>
          </cell>
          <cell r="Y100">
            <v>77936210.0000002</v>
          </cell>
          <cell r="Z100">
            <v>0</v>
          </cell>
          <cell r="AA100">
            <v>0</v>
          </cell>
          <cell r="AB100">
            <v>0</v>
          </cell>
        </row>
        <row r="101">
          <cell r="B101" t="str">
            <v>湿地公园TOD项目（一期）</v>
          </cell>
        </row>
        <row r="101">
          <cell r="G101" t="str">
            <v>住宅-毛坯非普宅</v>
          </cell>
          <cell r="H101" t="str">
            <v>回款含税(元）（贷款类回款）</v>
          </cell>
        </row>
        <row r="101"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B102" t="str">
            <v>湿地公园TOD项目（一期）</v>
          </cell>
        </row>
        <row r="102">
          <cell r="G102" t="str">
            <v>住宅-毛坯非普宅</v>
          </cell>
          <cell r="H102" t="str">
            <v>回款含税(元）（贷款类回款）</v>
          </cell>
        </row>
        <row r="102"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B103" t="str">
            <v>湿地公园TOD项目（一期）</v>
          </cell>
        </row>
        <row r="103">
          <cell r="G103" t="str">
            <v>办公楼</v>
          </cell>
          <cell r="H103" t="str">
            <v>回款含税(元）（贷款类回款）</v>
          </cell>
        </row>
        <row r="103"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B104" t="str">
            <v>湿地公园TOD项目（一期）</v>
          </cell>
        </row>
        <row r="104">
          <cell r="G104" t="str">
            <v>商业</v>
          </cell>
          <cell r="H104" t="str">
            <v>回款含税(元）（贷款类回款）</v>
          </cell>
        </row>
        <row r="104"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B105" t="str">
            <v>湿地公园TOD项目（一期）</v>
          </cell>
        </row>
        <row r="105">
          <cell r="G105" t="str">
            <v>车位</v>
          </cell>
          <cell r="H105" t="str">
            <v>回款含税(元）（贷款类回款）</v>
          </cell>
        </row>
        <row r="105">
          <cell r="N105">
            <v>58205000</v>
          </cell>
        </row>
        <row r="105">
          <cell r="V105">
            <v>4970000</v>
          </cell>
          <cell r="W105">
            <v>1980000</v>
          </cell>
          <cell r="X105">
            <v>19440000</v>
          </cell>
          <cell r="Y105">
            <v>36400003</v>
          </cell>
          <cell r="Z105">
            <v>0</v>
          </cell>
          <cell r="AA105">
            <v>0</v>
          </cell>
          <cell r="AB105">
            <v>0</v>
          </cell>
        </row>
        <row r="106">
          <cell r="B106" t="str">
            <v>湿地公园TOD项目（三期）</v>
          </cell>
        </row>
        <row r="106">
          <cell r="G106" t="str">
            <v>住宅-精装普宅</v>
          </cell>
          <cell r="H106" t="str">
            <v>套数（套）</v>
          </cell>
        </row>
        <row r="106">
          <cell r="N106">
            <v>38</v>
          </cell>
        </row>
        <row r="106">
          <cell r="V106">
            <v>36</v>
          </cell>
          <cell r="W106">
            <v>38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B107" t="str">
            <v>湿地公园TOD项目（三期）</v>
          </cell>
        </row>
        <row r="107">
          <cell r="G107" t="str">
            <v>住宅-毛坯普宅</v>
          </cell>
          <cell r="H107" t="str">
            <v>套数（套）</v>
          </cell>
        </row>
        <row r="107"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B108" t="str">
            <v>湿地公园TOD项目（三期）</v>
          </cell>
        </row>
        <row r="108">
          <cell r="G108" t="str">
            <v>住宅-精装非普宅</v>
          </cell>
          <cell r="H108" t="str">
            <v>套数（套）</v>
          </cell>
        </row>
        <row r="108">
          <cell r="N108">
            <v>117</v>
          </cell>
        </row>
        <row r="108">
          <cell r="V108">
            <v>11</v>
          </cell>
          <cell r="W108">
            <v>6</v>
          </cell>
          <cell r="X108">
            <v>36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B109" t="str">
            <v>湿地公园TOD项目（三期）</v>
          </cell>
        </row>
        <row r="109">
          <cell r="G109" t="str">
            <v>住宅-毛坯非普宅</v>
          </cell>
          <cell r="H109" t="str">
            <v>套数（套）</v>
          </cell>
        </row>
        <row r="109"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B110" t="str">
            <v>湿地公园TOD项目（三期）</v>
          </cell>
        </row>
        <row r="110">
          <cell r="G110" t="str">
            <v>住宅-毛坯非普宅</v>
          </cell>
          <cell r="H110" t="str">
            <v>套数（套）</v>
          </cell>
        </row>
        <row r="110"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B111" t="str">
            <v>湿地公园TOD项目（三期）</v>
          </cell>
        </row>
        <row r="111">
          <cell r="G111" t="str">
            <v>办公楼</v>
          </cell>
          <cell r="H111" t="str">
            <v>套数（套）</v>
          </cell>
        </row>
        <row r="111"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B112" t="str">
            <v>湿地公园TOD项目（三期）</v>
          </cell>
        </row>
        <row r="112">
          <cell r="G112" t="str">
            <v>商业</v>
          </cell>
          <cell r="H112" t="str">
            <v>套数（套）</v>
          </cell>
        </row>
        <row r="112"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B113" t="str">
            <v>湿地公园TOD项目（三期）</v>
          </cell>
        </row>
        <row r="113">
          <cell r="G113" t="str">
            <v>车位</v>
          </cell>
          <cell r="H113" t="str">
            <v>套数（套）</v>
          </cell>
        </row>
        <row r="113">
          <cell r="N113">
            <v>256</v>
          </cell>
        </row>
        <row r="113">
          <cell r="V113">
            <v>75</v>
          </cell>
          <cell r="W113">
            <v>63</v>
          </cell>
          <cell r="X113">
            <v>72</v>
          </cell>
          <cell r="Y113">
            <v>61</v>
          </cell>
          <cell r="Z113">
            <v>0</v>
          </cell>
          <cell r="AA113">
            <v>0</v>
          </cell>
          <cell r="AB113">
            <v>0</v>
          </cell>
        </row>
        <row r="114">
          <cell r="B114" t="str">
            <v>湿地公园TOD项目（三期）</v>
          </cell>
        </row>
        <row r="114">
          <cell r="G114" t="str">
            <v>住宅-精装普宅</v>
          </cell>
          <cell r="H114" t="str">
            <v>面积（㎡）</v>
          </cell>
        </row>
        <row r="114">
          <cell r="N114">
            <v>5424.86</v>
          </cell>
        </row>
        <row r="114">
          <cell r="V114">
            <v>5133.69</v>
          </cell>
          <cell r="W114">
            <v>5426.65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B115" t="str">
            <v>湿地公园TOD项目（三期）</v>
          </cell>
        </row>
        <row r="115">
          <cell r="G115" t="str">
            <v>住宅-毛坯普宅</v>
          </cell>
          <cell r="H115" t="str">
            <v>面积（㎡）</v>
          </cell>
        </row>
        <row r="115"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B116" t="str">
            <v>湿地公园TOD项目（三期）</v>
          </cell>
        </row>
        <row r="116">
          <cell r="G116" t="str">
            <v>住宅-精装非普宅</v>
          </cell>
          <cell r="H116" t="str">
            <v>面积（㎡）</v>
          </cell>
        </row>
        <row r="116">
          <cell r="N116">
            <v>35582.66</v>
          </cell>
        </row>
        <row r="116">
          <cell r="V116">
            <v>2525.92</v>
          </cell>
          <cell r="W116">
            <v>1391.35000000001</v>
          </cell>
          <cell r="X116">
            <v>8347.84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B117" t="str">
            <v>湿地公园TOD项目（三期）</v>
          </cell>
        </row>
        <row r="117">
          <cell r="G117" t="str">
            <v>住宅-毛坯非普宅</v>
          </cell>
          <cell r="H117" t="str">
            <v>面积（㎡）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B118" t="str">
            <v>湿地公园TOD项目（三期）</v>
          </cell>
        </row>
        <row r="118">
          <cell r="G118" t="str">
            <v>住宅-毛坯非普宅</v>
          </cell>
          <cell r="H118" t="str">
            <v>面积（㎡）</v>
          </cell>
        </row>
        <row r="118"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B119" t="str">
            <v>湿地公园TOD项目（三期）</v>
          </cell>
        </row>
        <row r="119">
          <cell r="G119" t="str">
            <v>办公楼</v>
          </cell>
          <cell r="H119" t="str">
            <v>面积（㎡）</v>
          </cell>
        </row>
        <row r="119"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B120" t="str">
            <v>湿地公园TOD项目（三期）</v>
          </cell>
        </row>
        <row r="120">
          <cell r="G120" t="str">
            <v>商业</v>
          </cell>
          <cell r="H120" t="str">
            <v>面积（㎡）</v>
          </cell>
        </row>
        <row r="120"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B121" t="str">
            <v>湿地公园TOD项目（三期）</v>
          </cell>
        </row>
        <row r="121">
          <cell r="G121" t="str">
            <v>车位</v>
          </cell>
          <cell r="H121" t="str">
            <v>面积（㎡）</v>
          </cell>
        </row>
        <row r="121">
          <cell r="N121">
            <v>13263.17</v>
          </cell>
        </row>
        <row r="121">
          <cell r="V121">
            <v>3243.1</v>
          </cell>
          <cell r="W121">
            <v>3282.64</v>
          </cell>
          <cell r="X121">
            <v>4008.72</v>
          </cell>
          <cell r="Y121">
            <v>3396.28</v>
          </cell>
          <cell r="Z121">
            <v>0</v>
          </cell>
          <cell r="AA121">
            <v>0</v>
          </cell>
          <cell r="AB121">
            <v>0</v>
          </cell>
        </row>
        <row r="122">
          <cell r="B122" t="str">
            <v>湿地公园TOD项目（三期）</v>
          </cell>
        </row>
        <row r="122">
          <cell r="G122" t="str">
            <v>住宅-精装普宅</v>
          </cell>
          <cell r="H122" t="str">
            <v>签约(元）</v>
          </cell>
        </row>
        <row r="122">
          <cell r="N122">
            <v>375745193</v>
          </cell>
        </row>
        <row r="122">
          <cell r="V122">
            <v>305323568</v>
          </cell>
          <cell r="W122">
            <v>289965618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B123" t="str">
            <v>湿地公园TOD项目（三期）</v>
          </cell>
        </row>
        <row r="123">
          <cell r="G123" t="str">
            <v>住宅-毛坯普宅</v>
          </cell>
          <cell r="H123" t="str">
            <v>签约(元）</v>
          </cell>
        </row>
        <row r="123"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B124" t="str">
            <v>湿地公园TOD项目（三期）</v>
          </cell>
        </row>
        <row r="124">
          <cell r="G124" t="str">
            <v>住宅-精装非普宅</v>
          </cell>
          <cell r="H124" t="str">
            <v>签约(元）</v>
          </cell>
        </row>
        <row r="124">
          <cell r="N124">
            <v>2588841118</v>
          </cell>
        </row>
        <row r="124">
          <cell r="V124">
            <v>161982519</v>
          </cell>
          <cell r="W124">
            <v>87383616</v>
          </cell>
          <cell r="X124">
            <v>524301699.999999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B125" t="str">
            <v>湿地公园TOD项目（三期）</v>
          </cell>
        </row>
        <row r="125">
          <cell r="G125" t="str">
            <v>住宅-毛坯非普宅</v>
          </cell>
          <cell r="H125" t="str">
            <v>签约(元）</v>
          </cell>
        </row>
        <row r="125"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6">
          <cell r="B126" t="str">
            <v>湿地公园TOD项目（三期）</v>
          </cell>
        </row>
        <row r="126">
          <cell r="G126" t="str">
            <v>住宅-毛坯非普宅</v>
          </cell>
          <cell r="H126" t="str">
            <v>签约(元）</v>
          </cell>
        </row>
        <row r="126"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B127" t="str">
            <v>湿地公园TOD项目（三期）</v>
          </cell>
        </row>
        <row r="127">
          <cell r="G127" t="str">
            <v>办公楼</v>
          </cell>
          <cell r="H127" t="str">
            <v>签约(元）</v>
          </cell>
        </row>
        <row r="127"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</row>
        <row r="128">
          <cell r="B128" t="str">
            <v>湿地公园TOD项目（三期）</v>
          </cell>
        </row>
        <row r="128">
          <cell r="G128" t="str">
            <v>商业</v>
          </cell>
          <cell r="H128" t="str">
            <v>签约(元）</v>
          </cell>
        </row>
        <row r="128"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B129" t="str">
            <v>湿地公园TOD项目（三期）</v>
          </cell>
        </row>
        <row r="129">
          <cell r="G129" t="str">
            <v>车位</v>
          </cell>
          <cell r="H129" t="str">
            <v>签约(元）</v>
          </cell>
        </row>
        <row r="129">
          <cell r="N129">
            <v>120960000</v>
          </cell>
        </row>
        <row r="129">
          <cell r="V129">
            <v>14460000</v>
          </cell>
          <cell r="W129">
            <v>11800000</v>
          </cell>
          <cell r="X129">
            <v>16516692</v>
          </cell>
          <cell r="Y129">
            <v>13993308</v>
          </cell>
          <cell r="Z129">
            <v>0</v>
          </cell>
          <cell r="AA129">
            <v>0</v>
          </cell>
          <cell r="AB129">
            <v>0</v>
          </cell>
        </row>
        <row r="130">
          <cell r="B130" t="str">
            <v>湿地公园TOD项目（三期）</v>
          </cell>
        </row>
        <row r="130">
          <cell r="G130" t="str">
            <v>住宅-精装普宅</v>
          </cell>
          <cell r="H130" t="str">
            <v>回款含税(元）</v>
          </cell>
        </row>
        <row r="130">
          <cell r="N130">
            <v>355815200</v>
          </cell>
        </row>
        <row r="130">
          <cell r="V130">
            <v>314263700</v>
          </cell>
          <cell r="W130">
            <v>275878581</v>
          </cell>
          <cell r="X130">
            <v>25076898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B131" t="str">
            <v>湿地公园TOD项目（三期）</v>
          </cell>
        </row>
        <row r="131">
          <cell r="G131" t="str">
            <v>住宅-毛坯普宅</v>
          </cell>
          <cell r="H131" t="str">
            <v>回款含税(元）</v>
          </cell>
        </row>
        <row r="131">
          <cell r="N131">
            <v>0</v>
          </cell>
        </row>
        <row r="131"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B132" t="str">
            <v>湿地公园TOD项目（三期）</v>
          </cell>
        </row>
        <row r="132">
          <cell r="G132" t="str">
            <v>住宅-精装非普宅</v>
          </cell>
          <cell r="H132" t="str">
            <v>回款含税(元）</v>
          </cell>
        </row>
        <row r="132">
          <cell r="N132">
            <v>2520861800</v>
          </cell>
        </row>
        <row r="132">
          <cell r="V132">
            <v>220282500</v>
          </cell>
          <cell r="W132">
            <v>88331808</v>
          </cell>
          <cell r="X132">
            <v>501010850</v>
          </cell>
          <cell r="Y132">
            <v>32021994.9999998</v>
          </cell>
          <cell r="Z132">
            <v>0</v>
          </cell>
          <cell r="AA132">
            <v>0</v>
          </cell>
          <cell r="AB132">
            <v>0</v>
          </cell>
        </row>
        <row r="133">
          <cell r="B133" t="str">
            <v>湿地公园TOD项目（三期）</v>
          </cell>
        </row>
        <row r="133">
          <cell r="G133" t="str">
            <v>住宅-毛坯非普宅</v>
          </cell>
          <cell r="H133" t="str">
            <v>回款含税(元）</v>
          </cell>
        </row>
        <row r="133">
          <cell r="N133">
            <v>0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B134" t="str">
            <v>湿地公园TOD项目（三期）</v>
          </cell>
        </row>
        <row r="134">
          <cell r="G134" t="str">
            <v>住宅-毛坯非普宅</v>
          </cell>
          <cell r="H134" t="str">
            <v>回款含税(元）</v>
          </cell>
        </row>
        <row r="134">
          <cell r="N134">
            <v>0</v>
          </cell>
        </row>
        <row r="134"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B135" t="str">
            <v>湿地公园TOD项目（三期）</v>
          </cell>
        </row>
        <row r="135">
          <cell r="G135" t="str">
            <v>办公楼</v>
          </cell>
          <cell r="H135" t="str">
            <v>回款含税(元）</v>
          </cell>
        </row>
        <row r="135">
          <cell r="N135">
            <v>0</v>
          </cell>
        </row>
        <row r="135"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B136" t="str">
            <v>湿地公园TOD项目（三期）</v>
          </cell>
        </row>
        <row r="136">
          <cell r="G136" t="str">
            <v>商业</v>
          </cell>
          <cell r="H136" t="str">
            <v>回款含税(元）</v>
          </cell>
        </row>
        <row r="136">
          <cell r="N136">
            <v>0</v>
          </cell>
        </row>
        <row r="136"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B137" t="str">
            <v>湿地公园TOD项目（三期）</v>
          </cell>
        </row>
        <row r="137">
          <cell r="G137" t="str">
            <v>车位</v>
          </cell>
          <cell r="H137" t="str">
            <v>回款含税(元）</v>
          </cell>
        </row>
        <row r="137">
          <cell r="N137">
            <v>119220000</v>
          </cell>
        </row>
        <row r="137">
          <cell r="V137">
            <v>16100000</v>
          </cell>
          <cell r="W137">
            <v>11180000</v>
          </cell>
          <cell r="X137">
            <v>16228348</v>
          </cell>
          <cell r="Y137">
            <v>15001652</v>
          </cell>
          <cell r="Z137">
            <v>0</v>
          </cell>
          <cell r="AA137">
            <v>0</v>
          </cell>
          <cell r="AB137">
            <v>0</v>
          </cell>
        </row>
        <row r="138">
          <cell r="B138" t="str">
            <v>湿地公园TOD项目（三期）</v>
          </cell>
        </row>
        <row r="138">
          <cell r="G138" t="str">
            <v>住宅-精装普宅</v>
          </cell>
          <cell r="H138" t="str">
            <v>回款含税(元）（非贷款类回款）</v>
          </cell>
        </row>
        <row r="138">
          <cell r="N138">
            <v>138275200</v>
          </cell>
        </row>
        <row r="138">
          <cell r="V138">
            <v>248273700</v>
          </cell>
          <cell r="W138">
            <v>144598825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B139" t="str">
            <v>湿地公园TOD项目（三期）</v>
          </cell>
        </row>
        <row r="139">
          <cell r="G139" t="str">
            <v>住宅-毛坯普宅</v>
          </cell>
          <cell r="H139" t="str">
            <v>回款含税(元）（非贷款类回款）</v>
          </cell>
        </row>
        <row r="139"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B140" t="str">
            <v>湿地公园TOD项目（三期）</v>
          </cell>
        </row>
        <row r="140">
          <cell r="G140" t="str">
            <v>住宅-精装非普宅</v>
          </cell>
          <cell r="H140" t="str">
            <v>回款含税(元）（非贷款类回款）</v>
          </cell>
        </row>
        <row r="140">
          <cell r="N140">
            <v>1328341800</v>
          </cell>
        </row>
        <row r="140">
          <cell r="V140">
            <v>129732500</v>
          </cell>
          <cell r="W140">
            <v>43691808</v>
          </cell>
          <cell r="X140">
            <v>262150850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B141" t="str">
            <v>湿地公园TOD项目（三期）</v>
          </cell>
        </row>
        <row r="141">
          <cell r="G141" t="str">
            <v>住宅-毛坯非普宅</v>
          </cell>
          <cell r="H141" t="str">
            <v>回款含税(元）（非贷款类回款）</v>
          </cell>
        </row>
        <row r="141"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B142" t="str">
            <v>湿地公园TOD项目（三期）</v>
          </cell>
        </row>
        <row r="142">
          <cell r="G142" t="str">
            <v>住宅-毛坯非普宅</v>
          </cell>
          <cell r="H142" t="str">
            <v>回款含税(元）（非贷款类回款）</v>
          </cell>
        </row>
        <row r="142"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B143" t="str">
            <v>湿地公园TOD项目（三期）</v>
          </cell>
        </row>
        <row r="143">
          <cell r="G143" t="str">
            <v>办公楼</v>
          </cell>
          <cell r="H143" t="str">
            <v>回款含税(元）（非贷款类回款）</v>
          </cell>
        </row>
        <row r="143"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B144" t="str">
            <v>湿地公园TOD项目（三期）</v>
          </cell>
        </row>
        <row r="144">
          <cell r="G144" t="str">
            <v>商业</v>
          </cell>
          <cell r="H144" t="str">
            <v>回款含税(元）（非贷款类回款）</v>
          </cell>
        </row>
        <row r="144"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</row>
        <row r="145">
          <cell r="B145" t="str">
            <v>湿地公园TOD项目（三期）</v>
          </cell>
        </row>
        <row r="145">
          <cell r="G145" t="str">
            <v>车位</v>
          </cell>
          <cell r="H145" t="str">
            <v>回款含税(元）（非贷款类回款）</v>
          </cell>
        </row>
        <row r="145">
          <cell r="N145">
            <v>96320000</v>
          </cell>
        </row>
        <row r="145">
          <cell r="V145">
            <v>14220000</v>
          </cell>
          <cell r="W145">
            <v>6960000</v>
          </cell>
          <cell r="X145">
            <v>8258348</v>
          </cell>
          <cell r="Y145">
            <v>6996654</v>
          </cell>
          <cell r="Z145">
            <v>0</v>
          </cell>
          <cell r="AA145">
            <v>0</v>
          </cell>
          <cell r="AB145">
            <v>0</v>
          </cell>
        </row>
        <row r="146">
          <cell r="B146" t="str">
            <v>湿地公园TOD项目（三期）</v>
          </cell>
        </row>
        <row r="146">
          <cell r="G146" t="str">
            <v>住宅-精装普宅</v>
          </cell>
          <cell r="H146" t="str">
            <v>回款含税(元）（贷款类回款）</v>
          </cell>
        </row>
        <row r="146">
          <cell r="N146">
            <v>217540000</v>
          </cell>
        </row>
        <row r="146">
          <cell r="V146">
            <v>65990000</v>
          </cell>
          <cell r="W146">
            <v>131279756</v>
          </cell>
          <cell r="X146">
            <v>25076898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B147" t="str">
            <v>湿地公园TOD项目（三期）</v>
          </cell>
        </row>
        <row r="147">
          <cell r="G147" t="str">
            <v>住宅-毛坯普宅</v>
          </cell>
          <cell r="H147" t="str">
            <v>回款含税(元）（贷款类回款）</v>
          </cell>
        </row>
        <row r="147"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B148" t="str">
            <v>湿地公园TOD项目（三期）</v>
          </cell>
        </row>
        <row r="148">
          <cell r="G148" t="str">
            <v>住宅-精装非普宅</v>
          </cell>
          <cell r="H148" t="str">
            <v>回款含税(元）（贷款类回款）</v>
          </cell>
        </row>
        <row r="148">
          <cell r="N148">
            <v>1192520000</v>
          </cell>
        </row>
        <row r="148">
          <cell r="V148">
            <v>90550000</v>
          </cell>
          <cell r="W148">
            <v>44640000</v>
          </cell>
          <cell r="X148">
            <v>238860000</v>
          </cell>
          <cell r="Y148">
            <v>32021994.9999998</v>
          </cell>
          <cell r="Z148">
            <v>0</v>
          </cell>
          <cell r="AA148">
            <v>0</v>
          </cell>
          <cell r="AB148">
            <v>0</v>
          </cell>
        </row>
        <row r="149">
          <cell r="B149" t="str">
            <v>湿地公园TOD项目（三期）</v>
          </cell>
        </row>
        <row r="149">
          <cell r="G149" t="str">
            <v>住宅-毛坯非普宅</v>
          </cell>
          <cell r="H149" t="str">
            <v>回款含税(元）（贷款类回款）</v>
          </cell>
        </row>
        <row r="149"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B150" t="str">
            <v>湿地公园TOD项目（三期）</v>
          </cell>
        </row>
        <row r="150">
          <cell r="G150" t="str">
            <v>住宅-毛坯非普宅</v>
          </cell>
          <cell r="H150" t="str">
            <v>回款含税(元）（贷款类回款）</v>
          </cell>
        </row>
        <row r="150"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B151" t="str">
            <v>湿地公园TOD项目（三期）</v>
          </cell>
        </row>
        <row r="151">
          <cell r="G151" t="str">
            <v>办公楼</v>
          </cell>
          <cell r="H151" t="str">
            <v>回款含税(元）（贷款类回款）</v>
          </cell>
        </row>
        <row r="151"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</row>
        <row r="152">
          <cell r="B152" t="str">
            <v>湿地公园TOD项目（三期）</v>
          </cell>
        </row>
        <row r="152">
          <cell r="G152" t="str">
            <v>商业</v>
          </cell>
          <cell r="H152" t="str">
            <v>回款含税(元）（贷款类回款）</v>
          </cell>
        </row>
        <row r="152"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</row>
        <row r="153">
          <cell r="B153" t="str">
            <v>湿地公园TOD项目（三期）</v>
          </cell>
        </row>
        <row r="153">
          <cell r="G153" t="str">
            <v>车位</v>
          </cell>
          <cell r="H153" t="str">
            <v>回款含税(元）（贷款类回款）</v>
          </cell>
        </row>
        <row r="153">
          <cell r="N153">
            <v>22900000</v>
          </cell>
        </row>
        <row r="153">
          <cell r="V153">
            <v>1880000</v>
          </cell>
          <cell r="W153">
            <v>4220000</v>
          </cell>
          <cell r="X153">
            <v>7970000</v>
          </cell>
          <cell r="Y153">
            <v>8004998</v>
          </cell>
          <cell r="Z153">
            <v>0</v>
          </cell>
          <cell r="AA153">
            <v>0</v>
          </cell>
          <cell r="AB153">
            <v>0</v>
          </cell>
        </row>
        <row r="154">
          <cell r="B154" t="str">
            <v>五缘湾TOD项目</v>
          </cell>
        </row>
        <row r="154">
          <cell r="G154" t="str">
            <v>住宅-精装普宅</v>
          </cell>
          <cell r="H154" t="str">
            <v>套数（套）</v>
          </cell>
        </row>
        <row r="154"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B155" t="str">
            <v>五缘湾TOD项目</v>
          </cell>
        </row>
        <row r="155">
          <cell r="G155" t="str">
            <v>住宅-毛坯普宅</v>
          </cell>
          <cell r="H155" t="str">
            <v>套数（套）</v>
          </cell>
        </row>
        <row r="155"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B156" t="str">
            <v>五缘湾TOD项目</v>
          </cell>
        </row>
        <row r="156">
          <cell r="G156" t="str">
            <v>住宅-精装非普宅</v>
          </cell>
          <cell r="H156" t="str">
            <v>套数（套）</v>
          </cell>
        </row>
        <row r="156">
          <cell r="N156">
            <v>0</v>
          </cell>
        </row>
        <row r="156">
          <cell r="V156">
            <v>0</v>
          </cell>
          <cell r="W156">
            <v>92</v>
          </cell>
          <cell r="X156">
            <v>102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B157" t="str">
            <v>五缘湾TOD项目</v>
          </cell>
        </row>
        <row r="157">
          <cell r="G157" t="str">
            <v>住宅-毛坯非普宅</v>
          </cell>
          <cell r="H157" t="str">
            <v>套数（套）</v>
          </cell>
        </row>
        <row r="157">
          <cell r="V157">
            <v>0</v>
          </cell>
          <cell r="W157">
            <v>22</v>
          </cell>
          <cell r="X157">
            <v>2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B158" t="str">
            <v>五缘湾TOD项目</v>
          </cell>
        </row>
        <row r="158">
          <cell r="G158" t="str">
            <v>住宅-毛坯非普宅</v>
          </cell>
          <cell r="H158" t="str">
            <v>套数（套）</v>
          </cell>
        </row>
        <row r="158">
          <cell r="N158">
            <v>0</v>
          </cell>
        </row>
        <row r="158">
          <cell r="V158">
            <v>0</v>
          </cell>
          <cell r="W158">
            <v>36</v>
          </cell>
          <cell r="X158">
            <v>4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B159" t="str">
            <v>五缘湾TOD项目</v>
          </cell>
        </row>
        <row r="159">
          <cell r="G159" t="str">
            <v>办公楼</v>
          </cell>
          <cell r="H159" t="str">
            <v>套数（套）</v>
          </cell>
        </row>
        <row r="159"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B160" t="str">
            <v>五缘湾TOD项目</v>
          </cell>
        </row>
        <row r="160">
          <cell r="G160" t="str">
            <v>商业</v>
          </cell>
          <cell r="H160" t="str">
            <v>套数（套）</v>
          </cell>
        </row>
        <row r="160">
          <cell r="N160">
            <v>0</v>
          </cell>
        </row>
        <row r="160">
          <cell r="V160">
            <v>0</v>
          </cell>
          <cell r="W160">
            <v>3</v>
          </cell>
          <cell r="X160">
            <v>3</v>
          </cell>
          <cell r="Y160">
            <v>2</v>
          </cell>
          <cell r="Z160">
            <v>0</v>
          </cell>
          <cell r="AA160">
            <v>0</v>
          </cell>
          <cell r="AB160">
            <v>0</v>
          </cell>
        </row>
        <row r="161">
          <cell r="B161" t="str">
            <v>五缘湾TOD项目</v>
          </cell>
        </row>
        <row r="161">
          <cell r="G161" t="str">
            <v>车位</v>
          </cell>
          <cell r="H161" t="str">
            <v>套数（套）</v>
          </cell>
        </row>
        <row r="161">
          <cell r="N161">
            <v>0</v>
          </cell>
        </row>
        <row r="161">
          <cell r="V161">
            <v>0</v>
          </cell>
          <cell r="W161">
            <v>209</v>
          </cell>
          <cell r="X161">
            <v>106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2">
          <cell r="B162" t="str">
            <v>五缘湾TOD项目</v>
          </cell>
        </row>
        <row r="162">
          <cell r="G162" t="str">
            <v>住宅-精装普宅</v>
          </cell>
          <cell r="H162" t="str">
            <v>面积（㎡）</v>
          </cell>
        </row>
        <row r="162"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B163" t="str">
            <v>五缘湾TOD项目</v>
          </cell>
        </row>
        <row r="163">
          <cell r="G163" t="str">
            <v>住宅-毛坯普宅</v>
          </cell>
          <cell r="H163" t="str">
            <v>面积（㎡）</v>
          </cell>
        </row>
        <row r="163"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B164" t="str">
            <v>五缘湾TOD项目</v>
          </cell>
        </row>
        <row r="164">
          <cell r="G164" t="str">
            <v>住宅-精装非普宅</v>
          </cell>
          <cell r="H164" t="str">
            <v>面积（㎡）</v>
          </cell>
        </row>
        <row r="164">
          <cell r="N164">
            <v>0</v>
          </cell>
        </row>
        <row r="164">
          <cell r="V164">
            <v>0</v>
          </cell>
          <cell r="W164">
            <v>22261.9280840336</v>
          </cell>
          <cell r="X164">
            <v>27568.3735588235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B165" t="str">
            <v>五缘湾TOD项目</v>
          </cell>
        </row>
        <row r="165">
          <cell r="G165" t="str">
            <v>住宅-毛坯非普宅</v>
          </cell>
          <cell r="H165" t="str">
            <v>面积（㎡）</v>
          </cell>
        </row>
        <row r="165">
          <cell r="V165">
            <v>0</v>
          </cell>
          <cell r="W165">
            <v>5141.73973214286</v>
          </cell>
          <cell r="X165">
            <v>467.443625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B166" t="str">
            <v>五缘湾TOD项目</v>
          </cell>
        </row>
        <row r="166">
          <cell r="G166" t="str">
            <v>住宅-毛坯非普宅</v>
          </cell>
          <cell r="H166" t="str">
            <v>面积（㎡）</v>
          </cell>
        </row>
        <row r="166">
          <cell r="N166">
            <v>0</v>
          </cell>
        </row>
        <row r="166">
          <cell r="V166">
            <v>0</v>
          </cell>
          <cell r="W166">
            <v>8406.473</v>
          </cell>
          <cell r="X166">
            <v>934.047000000001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B167" t="str">
            <v>五缘湾TOD项目</v>
          </cell>
        </row>
        <row r="167">
          <cell r="G167" t="str">
            <v>办公楼</v>
          </cell>
          <cell r="H167" t="str">
            <v>面积（㎡）</v>
          </cell>
        </row>
        <row r="167"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B168" t="str">
            <v>五缘湾TOD项目</v>
          </cell>
        </row>
        <row r="168">
          <cell r="G168" t="str">
            <v>商业</v>
          </cell>
          <cell r="H168" t="str">
            <v>面积（㎡）</v>
          </cell>
        </row>
        <row r="168">
          <cell r="N168">
            <v>0</v>
          </cell>
        </row>
        <row r="168">
          <cell r="V168">
            <v>0</v>
          </cell>
          <cell r="W168">
            <v>846.696666666666</v>
          </cell>
          <cell r="X168">
            <v>846.703333333334</v>
          </cell>
          <cell r="Y168">
            <v>258.16</v>
          </cell>
          <cell r="Z168">
            <v>0</v>
          </cell>
          <cell r="AA168">
            <v>0</v>
          </cell>
          <cell r="AB168">
            <v>0</v>
          </cell>
        </row>
        <row r="169">
          <cell r="B169" t="str">
            <v>五缘湾TOD项目</v>
          </cell>
        </row>
        <row r="169">
          <cell r="G169" t="str">
            <v>车位</v>
          </cell>
          <cell r="H169" t="str">
            <v>面积（㎡）</v>
          </cell>
        </row>
        <row r="169">
          <cell r="N169">
            <v>0</v>
          </cell>
        </row>
        <row r="169">
          <cell r="V169">
            <v>0</v>
          </cell>
          <cell r="W169">
            <v>19440.3207936508</v>
          </cell>
          <cell r="X169">
            <v>9859.67920634921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B170" t="str">
            <v>五缘湾TOD项目</v>
          </cell>
        </row>
        <row r="170">
          <cell r="G170" t="str">
            <v>住宅-精装普宅</v>
          </cell>
          <cell r="H170" t="str">
            <v>签约(元）</v>
          </cell>
        </row>
        <row r="170"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B171" t="str">
            <v>五缘湾TOD项目</v>
          </cell>
        </row>
        <row r="171">
          <cell r="G171" t="str">
            <v>住宅-毛坯普宅</v>
          </cell>
          <cell r="H171" t="str">
            <v>签约(元）</v>
          </cell>
        </row>
        <row r="171"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2">
          <cell r="B172" t="str">
            <v>五缘湾TOD项目</v>
          </cell>
        </row>
        <row r="172">
          <cell r="G172" t="str">
            <v>住宅-精装非普宅</v>
          </cell>
          <cell r="H172" t="str">
            <v>签约(元）</v>
          </cell>
        </row>
        <row r="172">
          <cell r="N172">
            <v>0</v>
          </cell>
        </row>
        <row r="172">
          <cell r="V172">
            <v>0</v>
          </cell>
          <cell r="W172">
            <v>1346172542</v>
          </cell>
          <cell r="X172">
            <v>1765250108.5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3">
          <cell r="B173" t="str">
            <v>五缘湾TOD项目</v>
          </cell>
        </row>
        <row r="173">
          <cell r="G173" t="str">
            <v>住宅-毛坯非普宅</v>
          </cell>
          <cell r="H173" t="str">
            <v>签约(元）</v>
          </cell>
        </row>
        <row r="173">
          <cell r="V173">
            <v>0</v>
          </cell>
          <cell r="W173">
            <v>424391380</v>
          </cell>
          <cell r="X173">
            <v>41461036.714286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B174" t="str">
            <v>五缘湾TOD项目</v>
          </cell>
        </row>
        <row r="174">
          <cell r="G174" t="str">
            <v>住宅-毛坯非普宅</v>
          </cell>
          <cell r="H174" t="str">
            <v>签约(元）</v>
          </cell>
        </row>
        <row r="174">
          <cell r="N174">
            <v>0</v>
          </cell>
        </row>
        <row r="174">
          <cell r="V174">
            <v>0</v>
          </cell>
          <cell r="W174">
            <v>695864620</v>
          </cell>
          <cell r="X174">
            <v>77318290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B175" t="str">
            <v>五缘湾TOD项目</v>
          </cell>
        </row>
        <row r="175">
          <cell r="G175" t="str">
            <v>办公楼</v>
          </cell>
          <cell r="H175" t="str">
            <v>签约(元）</v>
          </cell>
        </row>
        <row r="175"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B176" t="str">
            <v>五缘湾TOD项目</v>
          </cell>
        </row>
        <row r="176">
          <cell r="G176" t="str">
            <v>商业</v>
          </cell>
          <cell r="H176" t="str">
            <v>签约(元）</v>
          </cell>
        </row>
        <row r="176">
          <cell r="N176">
            <v>0</v>
          </cell>
        </row>
        <row r="176">
          <cell r="V176">
            <v>0</v>
          </cell>
          <cell r="W176">
            <v>50802000</v>
          </cell>
          <cell r="X176">
            <v>50802000</v>
          </cell>
          <cell r="Y176">
            <v>3113870</v>
          </cell>
          <cell r="Z176">
            <v>0</v>
          </cell>
          <cell r="AA176">
            <v>0</v>
          </cell>
          <cell r="AB176">
            <v>0</v>
          </cell>
        </row>
        <row r="177">
          <cell r="B177" t="str">
            <v>五缘湾TOD项目</v>
          </cell>
        </row>
        <row r="177">
          <cell r="G177" t="str">
            <v>车位</v>
          </cell>
          <cell r="H177" t="str">
            <v>签约(元）</v>
          </cell>
        </row>
        <row r="177">
          <cell r="N177">
            <v>0</v>
          </cell>
        </row>
        <row r="177">
          <cell r="V177">
            <v>0</v>
          </cell>
          <cell r="W177">
            <v>62700000</v>
          </cell>
          <cell r="X177">
            <v>31800000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B178" t="str">
            <v>五缘湾TOD项目</v>
          </cell>
        </row>
        <row r="178">
          <cell r="G178" t="str">
            <v>住宅-精装普宅</v>
          </cell>
          <cell r="H178" t="str">
            <v>回款含税(元）</v>
          </cell>
        </row>
        <row r="178">
          <cell r="N178">
            <v>0</v>
          </cell>
        </row>
        <row r="178"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B179" t="str">
            <v>五缘湾TOD项目</v>
          </cell>
        </row>
        <row r="179">
          <cell r="G179" t="str">
            <v>住宅-毛坯普宅</v>
          </cell>
          <cell r="H179" t="str">
            <v>回款含税(元）</v>
          </cell>
        </row>
        <row r="179">
          <cell r="N179">
            <v>0</v>
          </cell>
        </row>
        <row r="179"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B180" t="str">
            <v>五缘湾TOD项目</v>
          </cell>
        </row>
        <row r="180">
          <cell r="G180" t="str">
            <v>住宅-精装非普宅</v>
          </cell>
          <cell r="H180" t="str">
            <v>回款含税(元）</v>
          </cell>
        </row>
        <row r="180">
          <cell r="N180">
            <v>0</v>
          </cell>
        </row>
        <row r="180">
          <cell r="V180">
            <v>0</v>
          </cell>
          <cell r="W180">
            <v>1194256271</v>
          </cell>
          <cell r="X180">
            <v>1814727963.5</v>
          </cell>
          <cell r="Y180">
            <v>102438416</v>
          </cell>
          <cell r="Z180">
            <v>0</v>
          </cell>
          <cell r="AA180">
            <v>0</v>
          </cell>
          <cell r="AB180">
            <v>0</v>
          </cell>
        </row>
        <row r="181">
          <cell r="B181" t="str">
            <v>五缘湾TOD项目</v>
          </cell>
        </row>
        <row r="181">
          <cell r="G181" t="str">
            <v>住宅-毛坯非普宅</v>
          </cell>
          <cell r="H181" t="str">
            <v>回款含税(元）</v>
          </cell>
        </row>
        <row r="181">
          <cell r="N181">
            <v>0</v>
          </cell>
        </row>
        <row r="181">
          <cell r="V181">
            <v>0</v>
          </cell>
          <cell r="W181">
            <v>374225690</v>
          </cell>
          <cell r="X181">
            <v>91626726.714286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B182" t="str">
            <v>五缘湾TOD项目</v>
          </cell>
        </row>
        <row r="182">
          <cell r="G182" t="str">
            <v>住宅-毛坯非普宅</v>
          </cell>
          <cell r="H182" t="str">
            <v>回款含税(元）</v>
          </cell>
        </row>
        <row r="182">
          <cell r="N182">
            <v>0</v>
          </cell>
        </row>
        <row r="182">
          <cell r="V182">
            <v>0</v>
          </cell>
          <cell r="W182">
            <v>636862310</v>
          </cell>
          <cell r="X182">
            <v>136320600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B183" t="str">
            <v>五缘湾TOD项目</v>
          </cell>
        </row>
        <row r="183">
          <cell r="G183" t="str">
            <v>办公楼</v>
          </cell>
          <cell r="H183" t="str">
            <v>回款含税(元）</v>
          </cell>
        </row>
        <row r="183">
          <cell r="N183">
            <v>0</v>
          </cell>
        </row>
        <row r="183"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</row>
        <row r="184">
          <cell r="B184" t="str">
            <v>五缘湾TOD项目</v>
          </cell>
        </row>
        <row r="184">
          <cell r="G184" t="str">
            <v>商业</v>
          </cell>
          <cell r="H184" t="str">
            <v>回款含税(元）</v>
          </cell>
        </row>
        <row r="184">
          <cell r="N184">
            <v>0</v>
          </cell>
        </row>
        <row r="184">
          <cell r="V184">
            <v>0</v>
          </cell>
          <cell r="W184">
            <v>50771000</v>
          </cell>
          <cell r="X184">
            <v>50833000</v>
          </cell>
          <cell r="Y184">
            <v>3113870</v>
          </cell>
          <cell r="Z184">
            <v>0</v>
          </cell>
          <cell r="AA184">
            <v>0</v>
          </cell>
          <cell r="AB184">
            <v>0</v>
          </cell>
        </row>
        <row r="185">
          <cell r="B185" t="str">
            <v>五缘湾TOD项目</v>
          </cell>
        </row>
        <row r="185">
          <cell r="G185" t="str">
            <v>车位</v>
          </cell>
          <cell r="H185" t="str">
            <v>回款含税(元）</v>
          </cell>
        </row>
        <row r="185">
          <cell r="N185">
            <v>0</v>
          </cell>
        </row>
        <row r="185">
          <cell r="V185">
            <v>0</v>
          </cell>
          <cell r="W185">
            <v>56030000</v>
          </cell>
          <cell r="X185">
            <v>36740000</v>
          </cell>
          <cell r="Y185">
            <v>1730000</v>
          </cell>
          <cell r="Z185">
            <v>0</v>
          </cell>
          <cell r="AA185">
            <v>0</v>
          </cell>
          <cell r="AB185">
            <v>0</v>
          </cell>
        </row>
        <row r="186">
          <cell r="B186" t="str">
            <v>五缘湾TOD项目</v>
          </cell>
        </row>
        <row r="186">
          <cell r="G186" t="str">
            <v>住宅-精装普宅</v>
          </cell>
          <cell r="H186" t="str">
            <v>回款含税(元）（非贷款类回款）</v>
          </cell>
        </row>
        <row r="186"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B187" t="str">
            <v>五缘湾TOD项目</v>
          </cell>
        </row>
        <row r="187">
          <cell r="G187" t="str">
            <v>住宅-毛坯普宅</v>
          </cell>
          <cell r="H187" t="str">
            <v>回款含税(元）（非贷款类回款）</v>
          </cell>
        </row>
        <row r="187"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B188" t="str">
            <v>五缘湾TOD项目</v>
          </cell>
        </row>
        <row r="188">
          <cell r="G188" t="str">
            <v>住宅-精装非普宅</v>
          </cell>
          <cell r="H188" t="str">
            <v>回款含税(元）（非贷款类回款）</v>
          </cell>
        </row>
        <row r="188">
          <cell r="N188">
            <v>0</v>
          </cell>
        </row>
        <row r="188">
          <cell r="V188">
            <v>0</v>
          </cell>
          <cell r="W188">
            <v>673086271</v>
          </cell>
          <cell r="X188">
            <v>882625054.25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B189" t="str">
            <v>五缘湾TOD项目</v>
          </cell>
        </row>
        <row r="189">
          <cell r="G189" t="str">
            <v>住宅-毛坯非普宅</v>
          </cell>
          <cell r="H189" t="str">
            <v>回款含税(元）（非贷款类回款）</v>
          </cell>
        </row>
        <row r="189">
          <cell r="V189">
            <v>0</v>
          </cell>
          <cell r="W189">
            <v>212195690</v>
          </cell>
          <cell r="X189">
            <v>20730518.357143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B190" t="str">
            <v>五缘湾TOD项目</v>
          </cell>
        </row>
        <row r="190">
          <cell r="G190" t="str">
            <v>住宅-毛坯非普宅</v>
          </cell>
          <cell r="H190" t="str">
            <v>回款含税(元）（非贷款类回款）</v>
          </cell>
        </row>
        <row r="190">
          <cell r="N190">
            <v>0</v>
          </cell>
        </row>
        <row r="190">
          <cell r="V190">
            <v>0</v>
          </cell>
          <cell r="W190">
            <v>347932310</v>
          </cell>
          <cell r="X190">
            <v>38659145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B191" t="str">
            <v>五缘湾TOD项目</v>
          </cell>
        </row>
        <row r="191">
          <cell r="G191" t="str">
            <v>办公楼</v>
          </cell>
          <cell r="H191" t="str">
            <v>回款含税(元）（非贷款类回款）</v>
          </cell>
        </row>
        <row r="191"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B192" t="str">
            <v>五缘湾TOD项目</v>
          </cell>
        </row>
        <row r="192">
          <cell r="G192" t="str">
            <v>商业</v>
          </cell>
          <cell r="H192" t="str">
            <v>回款含税(元）（非贷款类回款）</v>
          </cell>
        </row>
        <row r="192">
          <cell r="N192">
            <v>0</v>
          </cell>
        </row>
        <row r="192">
          <cell r="V192">
            <v>0</v>
          </cell>
          <cell r="W192">
            <v>25401000</v>
          </cell>
          <cell r="X192">
            <v>25401000</v>
          </cell>
          <cell r="Y192">
            <v>3113870</v>
          </cell>
          <cell r="Z192">
            <v>0</v>
          </cell>
          <cell r="AA192">
            <v>0</v>
          </cell>
          <cell r="AB192">
            <v>0</v>
          </cell>
        </row>
        <row r="193">
          <cell r="B193" t="str">
            <v>五缘湾TOD项目</v>
          </cell>
        </row>
        <row r="193">
          <cell r="G193" t="str">
            <v>车位</v>
          </cell>
          <cell r="H193" t="str">
            <v>回款含税(元）（非贷款类回款）</v>
          </cell>
        </row>
        <row r="193">
          <cell r="N193">
            <v>0</v>
          </cell>
        </row>
        <row r="193">
          <cell r="V193">
            <v>0</v>
          </cell>
          <cell r="W193">
            <v>31350000</v>
          </cell>
          <cell r="X193">
            <v>15900000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B194" t="str">
            <v>五缘湾TOD项目</v>
          </cell>
        </row>
        <row r="194">
          <cell r="G194" t="str">
            <v>住宅-精装普宅</v>
          </cell>
          <cell r="H194" t="str">
            <v>回款含税(元）（贷款类回款）</v>
          </cell>
        </row>
        <row r="194"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B195" t="str">
            <v>五缘湾TOD项目</v>
          </cell>
        </row>
        <row r="195">
          <cell r="G195" t="str">
            <v>住宅-毛坯普宅</v>
          </cell>
          <cell r="H195" t="str">
            <v>回款含税(元）（贷款类回款）</v>
          </cell>
        </row>
        <row r="195"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B196" t="str">
            <v>五缘湾TOD项目</v>
          </cell>
        </row>
        <row r="196">
          <cell r="G196" t="str">
            <v>住宅-精装非普宅</v>
          </cell>
          <cell r="H196" t="str">
            <v>回款含税(元）（贷款类回款）</v>
          </cell>
        </row>
        <row r="196">
          <cell r="N196">
            <v>0</v>
          </cell>
        </row>
        <row r="196">
          <cell r="V196">
            <v>0</v>
          </cell>
          <cell r="W196">
            <v>521170000</v>
          </cell>
          <cell r="X196">
            <v>932102909.25</v>
          </cell>
          <cell r="Y196">
            <v>102438416</v>
          </cell>
          <cell r="Z196">
            <v>0</v>
          </cell>
          <cell r="AA196">
            <v>0</v>
          </cell>
          <cell r="AB196">
            <v>0</v>
          </cell>
        </row>
        <row r="197">
          <cell r="B197" t="str">
            <v>五缘湾TOD项目</v>
          </cell>
        </row>
        <row r="197">
          <cell r="G197" t="str">
            <v>住宅-毛坯非普宅</v>
          </cell>
          <cell r="H197" t="str">
            <v>回款含税(元）（贷款类回款）</v>
          </cell>
        </row>
        <row r="197">
          <cell r="V197">
            <v>0</v>
          </cell>
          <cell r="W197">
            <v>162030000</v>
          </cell>
          <cell r="X197">
            <v>70896208.357143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B198" t="str">
            <v>五缘湾TOD项目</v>
          </cell>
        </row>
        <row r="198">
          <cell r="G198" t="str">
            <v>住宅-毛坯非普宅</v>
          </cell>
          <cell r="H198" t="str">
            <v>回款含税(元）（贷款类回款）</v>
          </cell>
        </row>
        <row r="198">
          <cell r="N198">
            <v>0</v>
          </cell>
        </row>
        <row r="198">
          <cell r="V198">
            <v>0</v>
          </cell>
          <cell r="W198">
            <v>288930000</v>
          </cell>
          <cell r="X198">
            <v>97661455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</row>
        <row r="199">
          <cell r="B199" t="str">
            <v>五缘湾TOD项目</v>
          </cell>
        </row>
        <row r="199">
          <cell r="G199" t="str">
            <v>办公楼</v>
          </cell>
          <cell r="H199" t="str">
            <v>回款含税(元）（贷款类回款）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B200" t="str">
            <v>五缘湾TOD项目</v>
          </cell>
        </row>
        <row r="200">
          <cell r="G200" t="str">
            <v>商业</v>
          </cell>
          <cell r="H200" t="str">
            <v>回款含税(元）（贷款类回款）</v>
          </cell>
        </row>
        <row r="200">
          <cell r="N200">
            <v>0</v>
          </cell>
        </row>
        <row r="200">
          <cell r="V200">
            <v>0</v>
          </cell>
          <cell r="W200">
            <v>25370000</v>
          </cell>
          <cell r="X200">
            <v>25432000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B201" t="str">
            <v>五缘湾TOD项目</v>
          </cell>
        </row>
        <row r="201">
          <cell r="G201" t="str">
            <v>车位</v>
          </cell>
          <cell r="H201" t="str">
            <v>回款含税(元）（贷款类回款）</v>
          </cell>
        </row>
        <row r="201">
          <cell r="N201">
            <v>0</v>
          </cell>
        </row>
        <row r="201">
          <cell r="V201">
            <v>0</v>
          </cell>
          <cell r="W201">
            <v>24680000</v>
          </cell>
          <cell r="X201">
            <v>20840000</v>
          </cell>
          <cell r="Y201">
            <v>1730000</v>
          </cell>
          <cell r="Z201">
            <v>0</v>
          </cell>
          <cell r="AA201">
            <v>0</v>
          </cell>
          <cell r="AB201">
            <v>0</v>
          </cell>
        </row>
        <row r="202">
          <cell r="B202" t="str">
            <v>南部新城TOD项目</v>
          </cell>
        </row>
        <row r="202">
          <cell r="G202" t="str">
            <v>住宅-精装普宅</v>
          </cell>
          <cell r="H202" t="str">
            <v>套数（套）</v>
          </cell>
        </row>
        <row r="202">
          <cell r="N202">
            <v>870</v>
          </cell>
        </row>
        <row r="202"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</row>
        <row r="203">
          <cell r="B203" t="str">
            <v>南部新城TOD项目</v>
          </cell>
        </row>
        <row r="203">
          <cell r="G203" t="str">
            <v>住宅-毛坯普宅</v>
          </cell>
          <cell r="H203" t="str">
            <v>套数（套）</v>
          </cell>
        </row>
        <row r="203"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B204" t="str">
            <v>南部新城TOD项目</v>
          </cell>
        </row>
        <row r="204">
          <cell r="G204" t="str">
            <v>住宅-精装非普宅</v>
          </cell>
          <cell r="H204" t="str">
            <v>套数（套）</v>
          </cell>
        </row>
        <row r="204"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B205" t="str">
            <v>南部新城TOD项目</v>
          </cell>
        </row>
        <row r="205">
          <cell r="G205" t="str">
            <v>住宅-毛坯非普宅</v>
          </cell>
          <cell r="H205" t="str">
            <v>套数（套）</v>
          </cell>
        </row>
        <row r="205"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B206" t="str">
            <v>南部新城TOD项目</v>
          </cell>
        </row>
        <row r="206">
          <cell r="G206" t="str">
            <v>住宅-毛坯非普宅</v>
          </cell>
          <cell r="H206" t="str">
            <v>套数（套）</v>
          </cell>
        </row>
        <row r="206"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B207" t="str">
            <v>南部新城TOD项目</v>
          </cell>
        </row>
        <row r="207">
          <cell r="G207" t="str">
            <v>办公楼</v>
          </cell>
          <cell r="H207" t="str">
            <v>套数（套）</v>
          </cell>
        </row>
        <row r="207"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B208" t="str">
            <v>南部新城TOD项目</v>
          </cell>
        </row>
        <row r="208">
          <cell r="G208" t="str">
            <v>商业</v>
          </cell>
          <cell r="H208" t="str">
            <v>套数（套）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9">
          <cell r="B209" t="str">
            <v>南部新城TOD项目</v>
          </cell>
        </row>
        <row r="209">
          <cell r="G209" t="str">
            <v>车位</v>
          </cell>
          <cell r="H209" t="str">
            <v>套数（套）</v>
          </cell>
        </row>
        <row r="209">
          <cell r="N209">
            <v>230</v>
          </cell>
        </row>
        <row r="209">
          <cell r="V209">
            <v>62</v>
          </cell>
          <cell r="W209">
            <v>0</v>
          </cell>
          <cell r="X209">
            <v>0</v>
          </cell>
          <cell r="Y209">
            <v>274</v>
          </cell>
          <cell r="Z209">
            <v>0</v>
          </cell>
          <cell r="AA209">
            <v>0</v>
          </cell>
          <cell r="AB209">
            <v>0</v>
          </cell>
        </row>
        <row r="210">
          <cell r="B210" t="str">
            <v>南部新城TOD项目</v>
          </cell>
        </row>
        <row r="210">
          <cell r="G210" t="str">
            <v>住宅-精装普宅</v>
          </cell>
          <cell r="H210" t="str">
            <v>面积（㎡）</v>
          </cell>
        </row>
        <row r="210">
          <cell r="N210">
            <v>69086.18</v>
          </cell>
        </row>
        <row r="210"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</row>
        <row r="211">
          <cell r="B211" t="str">
            <v>南部新城TOD项目</v>
          </cell>
        </row>
        <row r="211">
          <cell r="G211" t="str">
            <v>住宅-毛坯普宅</v>
          </cell>
          <cell r="H211" t="str">
            <v>面积（㎡）</v>
          </cell>
        </row>
        <row r="211"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</row>
        <row r="212">
          <cell r="B212" t="str">
            <v>南部新城TOD项目</v>
          </cell>
        </row>
        <row r="212">
          <cell r="G212" t="str">
            <v>住宅-精装非普宅</v>
          </cell>
          <cell r="H212" t="str">
            <v>面积（㎡）</v>
          </cell>
        </row>
        <row r="212"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B213" t="str">
            <v>南部新城TOD项目</v>
          </cell>
        </row>
        <row r="213">
          <cell r="G213" t="str">
            <v>住宅-毛坯非普宅</v>
          </cell>
          <cell r="H213" t="str">
            <v>面积（㎡）</v>
          </cell>
        </row>
        <row r="213"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B214" t="str">
            <v>南部新城TOD项目</v>
          </cell>
        </row>
        <row r="214">
          <cell r="G214" t="str">
            <v>住宅-毛坯非普宅</v>
          </cell>
          <cell r="H214" t="str">
            <v>面积（㎡）</v>
          </cell>
        </row>
        <row r="214"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B215" t="str">
            <v>南部新城TOD项目</v>
          </cell>
        </row>
        <row r="215">
          <cell r="G215" t="str">
            <v>办公楼</v>
          </cell>
          <cell r="H215" t="str">
            <v>面积（㎡）</v>
          </cell>
        </row>
        <row r="215"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B216" t="str">
            <v>南部新城TOD项目</v>
          </cell>
        </row>
        <row r="216">
          <cell r="G216" t="str">
            <v>商业</v>
          </cell>
          <cell r="H216" t="str">
            <v>面积（㎡）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B217" t="str">
            <v>南部新城TOD项目</v>
          </cell>
        </row>
        <row r="217">
          <cell r="G217" t="str">
            <v>车位</v>
          </cell>
          <cell r="H217" t="str">
            <v>面积（㎡）</v>
          </cell>
        </row>
        <row r="217">
          <cell r="N217">
            <v>9293.24000000005</v>
          </cell>
        </row>
        <row r="217">
          <cell r="V217">
            <v>2794.63</v>
          </cell>
          <cell r="W217">
            <v>0</v>
          </cell>
          <cell r="X217">
            <v>0</v>
          </cell>
          <cell r="Y217">
            <v>12305.6099999999</v>
          </cell>
          <cell r="Z217">
            <v>0</v>
          </cell>
          <cell r="AA217">
            <v>0</v>
          </cell>
          <cell r="AB217">
            <v>4.91127138957381e-11</v>
          </cell>
        </row>
        <row r="218">
          <cell r="B218" t="str">
            <v>南部新城TOD项目</v>
          </cell>
        </row>
        <row r="218">
          <cell r="G218" t="str">
            <v>住宅-精装普宅</v>
          </cell>
          <cell r="H218" t="str">
            <v>签约(元）</v>
          </cell>
        </row>
        <row r="218">
          <cell r="N218">
            <v>1792307354</v>
          </cell>
        </row>
        <row r="218"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9">
          <cell r="B219" t="str">
            <v>南部新城TOD项目</v>
          </cell>
        </row>
        <row r="219">
          <cell r="G219" t="str">
            <v>住宅-毛坯普宅</v>
          </cell>
          <cell r="H219" t="str">
            <v>签约(元）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B220" t="str">
            <v>南部新城TOD项目</v>
          </cell>
        </row>
        <row r="220">
          <cell r="G220" t="str">
            <v>住宅-精装非普宅</v>
          </cell>
          <cell r="H220" t="str">
            <v>签约(元）</v>
          </cell>
        </row>
        <row r="220"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B221" t="str">
            <v>南部新城TOD项目</v>
          </cell>
        </row>
        <row r="221">
          <cell r="G221" t="str">
            <v>住宅-毛坯非普宅</v>
          </cell>
          <cell r="H221" t="str">
            <v>签约(元）</v>
          </cell>
        </row>
        <row r="221"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B222" t="str">
            <v>南部新城TOD项目</v>
          </cell>
        </row>
        <row r="222">
          <cell r="G222" t="str">
            <v>住宅-毛坯非普宅</v>
          </cell>
          <cell r="H222" t="str">
            <v>签约(元）</v>
          </cell>
        </row>
        <row r="222"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B223" t="str">
            <v>南部新城TOD项目</v>
          </cell>
        </row>
        <row r="223">
          <cell r="G223" t="str">
            <v>办公楼</v>
          </cell>
          <cell r="H223" t="str">
            <v>签约(元）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B224" t="str">
            <v>南部新城TOD项目</v>
          </cell>
        </row>
        <row r="224">
          <cell r="G224" t="str">
            <v>商业</v>
          </cell>
          <cell r="H224" t="str">
            <v>签约(元）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B225" t="str">
            <v>南部新城TOD项目</v>
          </cell>
        </row>
        <row r="225">
          <cell r="G225" t="str">
            <v>车位</v>
          </cell>
          <cell r="H225" t="str">
            <v>签约(元）</v>
          </cell>
        </row>
        <row r="225">
          <cell r="N225">
            <v>22730000</v>
          </cell>
        </row>
        <row r="225">
          <cell r="V225">
            <v>5950000</v>
          </cell>
          <cell r="W225">
            <v>0</v>
          </cell>
          <cell r="X225">
            <v>0</v>
          </cell>
          <cell r="Y225">
            <v>27740000</v>
          </cell>
          <cell r="Z225">
            <v>0</v>
          </cell>
          <cell r="AA225">
            <v>0</v>
          </cell>
          <cell r="AB225">
            <v>0</v>
          </cell>
        </row>
        <row r="226">
          <cell r="B226" t="str">
            <v>南部新城TOD项目</v>
          </cell>
        </row>
        <row r="226">
          <cell r="G226" t="str">
            <v>住宅-精装普宅</v>
          </cell>
          <cell r="H226" t="str">
            <v>回款含税(元）</v>
          </cell>
        </row>
        <row r="226">
          <cell r="N226">
            <v>1713333054</v>
          </cell>
        </row>
        <row r="226">
          <cell r="V226">
            <v>78974300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B227" t="str">
            <v>南部新城TOD项目</v>
          </cell>
        </row>
        <row r="227">
          <cell r="G227" t="str">
            <v>住宅-毛坯普宅</v>
          </cell>
          <cell r="H227" t="str">
            <v>回款含税(元）</v>
          </cell>
        </row>
        <row r="227">
          <cell r="N227">
            <v>0</v>
          </cell>
        </row>
        <row r="227"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B228" t="str">
            <v>南部新城TOD项目</v>
          </cell>
        </row>
        <row r="228">
          <cell r="G228" t="str">
            <v>住宅-精装非普宅</v>
          </cell>
          <cell r="H228" t="str">
            <v>回款含税(元）</v>
          </cell>
        </row>
        <row r="228">
          <cell r="N228">
            <v>0</v>
          </cell>
        </row>
        <row r="228"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B229" t="str">
            <v>南部新城TOD项目</v>
          </cell>
        </row>
        <row r="229">
          <cell r="G229" t="str">
            <v>住宅-毛坯非普宅</v>
          </cell>
          <cell r="H229" t="str">
            <v>回款含税(元）</v>
          </cell>
        </row>
        <row r="229">
          <cell r="N229">
            <v>0</v>
          </cell>
        </row>
        <row r="229"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B230" t="str">
            <v>南部新城TOD项目</v>
          </cell>
        </row>
        <row r="230">
          <cell r="G230" t="str">
            <v>住宅-毛坯非普宅</v>
          </cell>
          <cell r="H230" t="str">
            <v>回款含税(元）</v>
          </cell>
        </row>
        <row r="230">
          <cell r="N230">
            <v>0</v>
          </cell>
        </row>
        <row r="230"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</row>
        <row r="231">
          <cell r="B231" t="str">
            <v>南部新城TOD项目</v>
          </cell>
        </row>
        <row r="231">
          <cell r="G231" t="str">
            <v>办公楼</v>
          </cell>
          <cell r="H231" t="str">
            <v>回款含税(元）</v>
          </cell>
        </row>
        <row r="231">
          <cell r="N231">
            <v>0</v>
          </cell>
        </row>
        <row r="231"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B232" t="str">
            <v>南部新城TOD项目</v>
          </cell>
        </row>
        <row r="232">
          <cell r="G232" t="str">
            <v>商业</v>
          </cell>
          <cell r="H232" t="str">
            <v>回款含税(元）</v>
          </cell>
        </row>
        <row r="232">
          <cell r="N232">
            <v>0</v>
          </cell>
        </row>
        <row r="232"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</row>
        <row r="233">
          <cell r="B233" t="str">
            <v>南部新城TOD项目</v>
          </cell>
        </row>
        <row r="233">
          <cell r="G233" t="str">
            <v>车位</v>
          </cell>
          <cell r="H233" t="str">
            <v>回款含税(元）</v>
          </cell>
        </row>
        <row r="233">
          <cell r="N233">
            <v>22610000</v>
          </cell>
        </row>
        <row r="233">
          <cell r="V233">
            <v>6070000</v>
          </cell>
          <cell r="W233">
            <v>0</v>
          </cell>
          <cell r="X233">
            <v>0</v>
          </cell>
          <cell r="Y233">
            <v>27740000</v>
          </cell>
          <cell r="Z233">
            <v>0</v>
          </cell>
          <cell r="AA233">
            <v>0</v>
          </cell>
          <cell r="AB233">
            <v>0</v>
          </cell>
        </row>
        <row r="234">
          <cell r="B234" t="str">
            <v>南部新城TOD项目</v>
          </cell>
        </row>
        <row r="234">
          <cell r="G234" t="str">
            <v>住宅-精装普宅</v>
          </cell>
          <cell r="H234" t="str">
            <v>回款含税(元）（非贷款类回款）</v>
          </cell>
        </row>
        <row r="234">
          <cell r="N234">
            <v>719871054</v>
          </cell>
        </row>
        <row r="234"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</row>
        <row r="235">
          <cell r="B235" t="str">
            <v>南部新城TOD项目</v>
          </cell>
        </row>
        <row r="235">
          <cell r="G235" t="str">
            <v>住宅-毛坯普宅</v>
          </cell>
          <cell r="H235" t="str">
            <v>回款含税(元）（非贷款类回款）</v>
          </cell>
        </row>
        <row r="235"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B236" t="str">
            <v>南部新城TOD项目</v>
          </cell>
        </row>
        <row r="236">
          <cell r="G236" t="str">
            <v>住宅-精装非普宅</v>
          </cell>
          <cell r="H236" t="str">
            <v>回款含税(元）（非贷款类回款）</v>
          </cell>
        </row>
        <row r="236"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7">
          <cell r="B237" t="str">
            <v>南部新城TOD项目</v>
          </cell>
        </row>
        <row r="237">
          <cell r="G237" t="str">
            <v>住宅-毛坯非普宅</v>
          </cell>
          <cell r="H237" t="str">
            <v>回款含税(元）（非贷款类回款）</v>
          </cell>
        </row>
        <row r="237"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</row>
        <row r="238">
          <cell r="B238" t="str">
            <v>南部新城TOD项目</v>
          </cell>
        </row>
        <row r="238">
          <cell r="G238" t="str">
            <v>住宅-毛坯非普宅</v>
          </cell>
          <cell r="H238" t="str">
            <v>回款含税(元）（非贷款类回款）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</row>
        <row r="239">
          <cell r="B239" t="str">
            <v>南部新城TOD项目</v>
          </cell>
        </row>
        <row r="239">
          <cell r="G239" t="str">
            <v>办公楼</v>
          </cell>
          <cell r="H239" t="str">
            <v>回款含税(元）（非贷款类回款）</v>
          </cell>
        </row>
        <row r="239"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B240" t="str">
            <v>南部新城TOD项目</v>
          </cell>
        </row>
        <row r="240">
          <cell r="G240" t="str">
            <v>商业</v>
          </cell>
          <cell r="H240" t="str">
            <v>回款含税(元）（非贷款类回款）</v>
          </cell>
        </row>
        <row r="240"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</row>
        <row r="241">
          <cell r="B241" t="str">
            <v>南部新城TOD项目</v>
          </cell>
        </row>
        <row r="241">
          <cell r="G241" t="str">
            <v>车位</v>
          </cell>
          <cell r="H241" t="str">
            <v>回款含税(元）（非贷款类回款）</v>
          </cell>
        </row>
        <row r="241">
          <cell r="N241">
            <v>18403000</v>
          </cell>
        </row>
        <row r="241">
          <cell r="V241">
            <v>5901000</v>
          </cell>
          <cell r="W241">
            <v>0</v>
          </cell>
          <cell r="X241">
            <v>0</v>
          </cell>
          <cell r="Y241">
            <v>2774000</v>
          </cell>
          <cell r="Z241">
            <v>0</v>
          </cell>
          <cell r="AA241">
            <v>0</v>
          </cell>
          <cell r="AB241">
            <v>0</v>
          </cell>
        </row>
        <row r="242">
          <cell r="B242" t="str">
            <v>南部新城TOD项目</v>
          </cell>
        </row>
        <row r="242">
          <cell r="G242" t="str">
            <v>住宅-精装普宅</v>
          </cell>
          <cell r="H242" t="str">
            <v>回款含税(元）（贷款类回款）</v>
          </cell>
        </row>
        <row r="242">
          <cell r="N242">
            <v>993462000</v>
          </cell>
        </row>
        <row r="242">
          <cell r="V242">
            <v>78974300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</row>
        <row r="243">
          <cell r="B243" t="str">
            <v>南部新城TOD项目</v>
          </cell>
        </row>
        <row r="243">
          <cell r="G243" t="str">
            <v>住宅-毛坯普宅</v>
          </cell>
          <cell r="H243" t="str">
            <v>回款含税(元）（贷款类回款）</v>
          </cell>
        </row>
        <row r="243"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</row>
        <row r="244">
          <cell r="B244" t="str">
            <v>南部新城TOD项目</v>
          </cell>
        </row>
        <row r="244">
          <cell r="G244" t="str">
            <v>住宅-精装非普宅</v>
          </cell>
          <cell r="H244" t="str">
            <v>回款含税(元）（贷款类回款）</v>
          </cell>
        </row>
        <row r="244"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</row>
        <row r="245">
          <cell r="B245" t="str">
            <v>南部新城TOD项目</v>
          </cell>
        </row>
        <row r="245">
          <cell r="G245" t="str">
            <v>住宅-毛坯非普宅</v>
          </cell>
          <cell r="H245" t="str">
            <v>回款含税(元）（贷款类回款）</v>
          </cell>
        </row>
        <row r="245"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</row>
        <row r="246">
          <cell r="B246" t="str">
            <v>南部新城TOD项目</v>
          </cell>
        </row>
        <row r="246">
          <cell r="G246" t="str">
            <v>住宅-毛坯非普宅</v>
          </cell>
          <cell r="H246" t="str">
            <v>回款含税(元）（贷款类回款）</v>
          </cell>
        </row>
        <row r="246"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</row>
        <row r="247">
          <cell r="B247" t="str">
            <v>南部新城TOD项目</v>
          </cell>
        </row>
        <row r="247">
          <cell r="G247" t="str">
            <v>办公楼</v>
          </cell>
          <cell r="H247" t="str">
            <v>回款含税(元）（贷款类回款）</v>
          </cell>
        </row>
        <row r="247"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</row>
        <row r="248">
          <cell r="B248" t="str">
            <v>南部新城TOD项目</v>
          </cell>
        </row>
        <row r="248">
          <cell r="G248" t="str">
            <v>商业</v>
          </cell>
          <cell r="H248" t="str">
            <v>回款含税(元）（贷款类回款）</v>
          </cell>
        </row>
        <row r="248"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B249" t="str">
            <v>南部新城TOD项目</v>
          </cell>
        </row>
        <row r="249">
          <cell r="G249" t="str">
            <v>车位</v>
          </cell>
          <cell r="H249" t="str">
            <v>回款含税(元）（贷款类回款）</v>
          </cell>
        </row>
        <row r="249">
          <cell r="N249">
            <v>4207000</v>
          </cell>
        </row>
        <row r="249">
          <cell r="V249">
            <v>169000</v>
          </cell>
          <cell r="W249">
            <v>0</v>
          </cell>
          <cell r="X249">
            <v>0</v>
          </cell>
          <cell r="Y249">
            <v>24966000</v>
          </cell>
          <cell r="Z249">
            <v>0</v>
          </cell>
          <cell r="AA249">
            <v>0</v>
          </cell>
          <cell r="AB249">
            <v>0</v>
          </cell>
        </row>
        <row r="250">
          <cell r="B250" t="str">
            <v>海沧中心璞瑞项目</v>
          </cell>
        </row>
        <row r="250">
          <cell r="G250" t="str">
            <v>住宅-精装普宅</v>
          </cell>
          <cell r="H250" t="str">
            <v>套数（套）</v>
          </cell>
        </row>
        <row r="250">
          <cell r="N250">
            <v>596</v>
          </cell>
        </row>
        <row r="250">
          <cell r="V250">
            <v>150</v>
          </cell>
          <cell r="W250">
            <v>11</v>
          </cell>
          <cell r="X250">
            <v>110</v>
          </cell>
          <cell r="Y250">
            <v>85</v>
          </cell>
          <cell r="Z250">
            <v>0</v>
          </cell>
          <cell r="AA250">
            <v>0</v>
          </cell>
          <cell r="AB250">
            <v>0</v>
          </cell>
        </row>
        <row r="251">
          <cell r="B251" t="str">
            <v>海沧中心璞瑞项目</v>
          </cell>
        </row>
        <row r="251">
          <cell r="G251" t="str">
            <v>住宅-毛坯普宅</v>
          </cell>
          <cell r="H251" t="str">
            <v>套数（套）</v>
          </cell>
        </row>
        <row r="251"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B252" t="str">
            <v>海沧中心璞瑞项目</v>
          </cell>
        </row>
        <row r="252">
          <cell r="G252" t="str">
            <v>住宅-精装非普宅</v>
          </cell>
          <cell r="H252" t="str">
            <v>套数（套）</v>
          </cell>
        </row>
        <row r="252">
          <cell r="N252">
            <v>46</v>
          </cell>
        </row>
        <row r="252">
          <cell r="V252">
            <v>31</v>
          </cell>
          <cell r="W252">
            <v>177</v>
          </cell>
          <cell r="X252">
            <v>110</v>
          </cell>
          <cell r="Y252">
            <v>48</v>
          </cell>
          <cell r="Z252">
            <v>0</v>
          </cell>
          <cell r="AA252">
            <v>0</v>
          </cell>
          <cell r="AB252">
            <v>0</v>
          </cell>
        </row>
        <row r="253">
          <cell r="B253" t="str">
            <v>海沧中心璞瑞项目</v>
          </cell>
        </row>
        <row r="253">
          <cell r="G253" t="str">
            <v>住宅-毛坯非普宅</v>
          </cell>
          <cell r="H253" t="str">
            <v>套数（套）</v>
          </cell>
        </row>
        <row r="253"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</row>
        <row r="254">
          <cell r="B254" t="str">
            <v>海沧中心璞瑞项目</v>
          </cell>
        </row>
        <row r="254">
          <cell r="G254" t="str">
            <v>住宅-毛坯非普宅</v>
          </cell>
          <cell r="H254" t="str">
            <v>套数（套）</v>
          </cell>
        </row>
        <row r="254"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</row>
        <row r="255">
          <cell r="B255" t="str">
            <v>海沧中心璞瑞项目</v>
          </cell>
        </row>
        <row r="255">
          <cell r="G255" t="str">
            <v>办公楼</v>
          </cell>
          <cell r="H255" t="str">
            <v>套数（套）</v>
          </cell>
        </row>
        <row r="255"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</row>
        <row r="256">
          <cell r="B256" t="str">
            <v>海沧中心璞瑞项目</v>
          </cell>
        </row>
        <row r="256">
          <cell r="G256" t="str">
            <v>商业</v>
          </cell>
          <cell r="H256" t="str">
            <v>套数（套）</v>
          </cell>
        </row>
        <row r="256"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72</v>
          </cell>
        </row>
        <row r="257">
          <cell r="B257" t="str">
            <v>海沧中心璞瑞项目</v>
          </cell>
        </row>
        <row r="257">
          <cell r="G257" t="str">
            <v>车位</v>
          </cell>
          <cell r="H257" t="str">
            <v>套数（套）</v>
          </cell>
        </row>
        <row r="257">
          <cell r="N257">
            <v>265</v>
          </cell>
        </row>
        <row r="257">
          <cell r="V257">
            <v>140</v>
          </cell>
          <cell r="W257">
            <v>8</v>
          </cell>
          <cell r="X257">
            <v>379</v>
          </cell>
          <cell r="Y257">
            <v>327</v>
          </cell>
          <cell r="Z257">
            <v>634</v>
          </cell>
          <cell r="AA257">
            <v>0</v>
          </cell>
          <cell r="AB257">
            <v>0</v>
          </cell>
        </row>
        <row r="258">
          <cell r="B258" t="str">
            <v>海沧中心璞瑞项目</v>
          </cell>
        </row>
        <row r="258">
          <cell r="G258" t="str">
            <v>住宅-精装普宅</v>
          </cell>
          <cell r="H258" t="str">
            <v>面积（㎡）</v>
          </cell>
        </row>
        <row r="258">
          <cell r="N258">
            <v>71600.5</v>
          </cell>
        </row>
        <row r="258">
          <cell r="V258">
            <v>21251.27</v>
          </cell>
          <cell r="W258">
            <v>1566.62</v>
          </cell>
          <cell r="X258">
            <v>15666.2</v>
          </cell>
          <cell r="Y258">
            <v>12131.73</v>
          </cell>
          <cell r="Z258">
            <v>0</v>
          </cell>
          <cell r="AA258">
            <v>0</v>
          </cell>
          <cell r="AB258">
            <v>0</v>
          </cell>
        </row>
        <row r="259">
          <cell r="B259" t="str">
            <v>海沧中心璞瑞项目</v>
          </cell>
        </row>
        <row r="259">
          <cell r="G259" t="str">
            <v>住宅-毛坯普宅</v>
          </cell>
          <cell r="H259" t="str">
            <v>面积（㎡）</v>
          </cell>
        </row>
        <row r="259"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B260" t="str">
            <v>海沧中心璞瑞项目</v>
          </cell>
        </row>
        <row r="260">
          <cell r="G260" t="str">
            <v>住宅-精装非普宅</v>
          </cell>
          <cell r="H260" t="str">
            <v>面积（㎡）</v>
          </cell>
        </row>
        <row r="260">
          <cell r="N260">
            <v>8398.08</v>
          </cell>
        </row>
        <row r="260">
          <cell r="V260">
            <v>5654.63</v>
          </cell>
          <cell r="W260">
            <v>33268</v>
          </cell>
          <cell r="X260">
            <v>20460</v>
          </cell>
          <cell r="Y260">
            <v>8973.21000000001</v>
          </cell>
          <cell r="Z260">
            <v>0</v>
          </cell>
          <cell r="AA260">
            <v>0</v>
          </cell>
          <cell r="AB260">
            <v>0</v>
          </cell>
        </row>
        <row r="261">
          <cell r="B261" t="str">
            <v>海沧中心璞瑞项目</v>
          </cell>
        </row>
        <row r="261">
          <cell r="G261" t="str">
            <v>住宅-毛坯非普宅</v>
          </cell>
          <cell r="H261" t="str">
            <v>面积（㎡）</v>
          </cell>
        </row>
        <row r="261"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B262" t="str">
            <v>海沧中心璞瑞项目</v>
          </cell>
        </row>
        <row r="262">
          <cell r="G262" t="str">
            <v>住宅-毛坯非普宅</v>
          </cell>
          <cell r="H262" t="str">
            <v>面积（㎡）</v>
          </cell>
        </row>
        <row r="262"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</row>
        <row r="263">
          <cell r="B263" t="str">
            <v>海沧中心璞瑞项目</v>
          </cell>
        </row>
        <row r="263">
          <cell r="G263" t="str">
            <v>办公楼</v>
          </cell>
          <cell r="H263" t="str">
            <v>面积（㎡）</v>
          </cell>
        </row>
        <row r="263"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B264" t="str">
            <v>海沧中心璞瑞项目</v>
          </cell>
        </row>
        <row r="264">
          <cell r="G264" t="str">
            <v>商业</v>
          </cell>
          <cell r="H264" t="str">
            <v>面积（㎡）</v>
          </cell>
        </row>
        <row r="264"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2895.71</v>
          </cell>
        </row>
        <row r="265">
          <cell r="B265" t="str">
            <v>海沧中心璞瑞项目</v>
          </cell>
        </row>
        <row r="265">
          <cell r="G265" t="str">
            <v>车位</v>
          </cell>
          <cell r="H265" t="str">
            <v>面积（㎡）</v>
          </cell>
        </row>
        <row r="265">
          <cell r="N265">
            <v>8446.13000000003</v>
          </cell>
        </row>
        <row r="265">
          <cell r="V265">
            <v>4387.96</v>
          </cell>
          <cell r="W265">
            <v>250.72</v>
          </cell>
          <cell r="X265">
            <v>11877.86</v>
          </cell>
          <cell r="Y265">
            <v>10248.18</v>
          </cell>
          <cell r="Z265">
            <v>20159.21</v>
          </cell>
          <cell r="AA265">
            <v>0</v>
          </cell>
          <cell r="AB265">
            <v>0</v>
          </cell>
        </row>
        <row r="266">
          <cell r="B266" t="str">
            <v>海沧中心璞瑞项目</v>
          </cell>
        </row>
        <row r="266">
          <cell r="G266" t="str">
            <v>住宅-精装普宅</v>
          </cell>
          <cell r="H266" t="str">
            <v>签约(元）</v>
          </cell>
        </row>
        <row r="266">
          <cell r="N266">
            <v>2937669678</v>
          </cell>
        </row>
        <row r="266">
          <cell r="V266">
            <v>695799406</v>
          </cell>
          <cell r="W266">
            <v>48510000</v>
          </cell>
          <cell r="X266">
            <v>550000000</v>
          </cell>
          <cell r="Y266">
            <v>427557894</v>
          </cell>
          <cell r="Z266">
            <v>0</v>
          </cell>
          <cell r="AA266">
            <v>0</v>
          </cell>
          <cell r="AB266">
            <v>0</v>
          </cell>
        </row>
        <row r="267">
          <cell r="B267" t="str">
            <v>海沧中心璞瑞项目</v>
          </cell>
        </row>
        <row r="267">
          <cell r="G267" t="str">
            <v>住宅-毛坯普宅</v>
          </cell>
          <cell r="H267" t="str">
            <v>签约(元）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B268" t="str">
            <v>海沧中心璞瑞项目</v>
          </cell>
        </row>
        <row r="268">
          <cell r="G268" t="str">
            <v>住宅-精装非普宅</v>
          </cell>
          <cell r="H268" t="str">
            <v>签约(元）</v>
          </cell>
        </row>
        <row r="268">
          <cell r="N268">
            <v>339005523</v>
          </cell>
        </row>
        <row r="268">
          <cell r="V268">
            <v>210982322</v>
          </cell>
          <cell r="W268">
            <v>1300950000</v>
          </cell>
          <cell r="X268">
            <v>826527026.962025</v>
          </cell>
          <cell r="Y268">
            <v>360666339.037975</v>
          </cell>
          <cell r="Z268">
            <v>0</v>
          </cell>
          <cell r="AA268">
            <v>0</v>
          </cell>
          <cell r="AB268">
            <v>0</v>
          </cell>
        </row>
        <row r="269">
          <cell r="B269" t="str">
            <v>海沧中心璞瑞项目</v>
          </cell>
        </row>
        <row r="269">
          <cell r="G269" t="str">
            <v>住宅-毛坯非普宅</v>
          </cell>
          <cell r="H269" t="str">
            <v>签约(元）</v>
          </cell>
        </row>
        <row r="269"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</row>
        <row r="270">
          <cell r="B270" t="str">
            <v>海沧中心璞瑞项目</v>
          </cell>
        </row>
        <row r="270">
          <cell r="G270" t="str">
            <v>住宅-毛坯非普宅</v>
          </cell>
          <cell r="H270" t="str">
            <v>签约(元）</v>
          </cell>
        </row>
        <row r="270"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</row>
        <row r="271">
          <cell r="B271" t="str">
            <v>海沧中心璞瑞项目</v>
          </cell>
        </row>
        <row r="271">
          <cell r="G271" t="str">
            <v>办公楼</v>
          </cell>
          <cell r="H271" t="str">
            <v>签约(元）</v>
          </cell>
        </row>
        <row r="271"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B272" t="str">
            <v>海沧中心璞瑞项目</v>
          </cell>
        </row>
        <row r="272">
          <cell r="G272" t="str">
            <v>商业</v>
          </cell>
          <cell r="H272" t="str">
            <v>签约(元）</v>
          </cell>
        </row>
        <row r="272"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104245560</v>
          </cell>
        </row>
        <row r="273">
          <cell r="B273" t="str">
            <v>海沧中心璞瑞项目</v>
          </cell>
        </row>
        <row r="273">
          <cell r="G273" t="str">
            <v>车位</v>
          </cell>
          <cell r="H273" t="str">
            <v>签约(元）</v>
          </cell>
        </row>
        <row r="273">
          <cell r="N273">
            <v>81800000</v>
          </cell>
        </row>
        <row r="273">
          <cell r="V273">
            <v>28000000</v>
          </cell>
          <cell r="W273">
            <v>1600000</v>
          </cell>
          <cell r="X273">
            <v>75800000</v>
          </cell>
          <cell r="Y273">
            <v>65400000</v>
          </cell>
          <cell r="Z273">
            <v>126800000</v>
          </cell>
          <cell r="AA273">
            <v>0</v>
          </cell>
          <cell r="AB273">
            <v>0</v>
          </cell>
        </row>
        <row r="274">
          <cell r="B274" t="str">
            <v>海沧中心璞瑞项目</v>
          </cell>
        </row>
        <row r="274">
          <cell r="G274" t="str">
            <v>住宅-精装普宅</v>
          </cell>
          <cell r="H274" t="str">
            <v>回款含税(元）</v>
          </cell>
        </row>
        <row r="274">
          <cell r="N274">
            <v>2762827000</v>
          </cell>
        </row>
        <row r="274">
          <cell r="V274">
            <v>827425800</v>
          </cell>
          <cell r="W274">
            <v>91726284</v>
          </cell>
          <cell r="X274">
            <v>475000000</v>
          </cell>
          <cell r="Y274">
            <v>449113157.25</v>
          </cell>
          <cell r="Z274">
            <v>53444736.75</v>
          </cell>
          <cell r="AA274">
            <v>0</v>
          </cell>
          <cell r="AB274">
            <v>0</v>
          </cell>
        </row>
        <row r="275">
          <cell r="B275" t="str">
            <v>海沧中心璞瑞项目</v>
          </cell>
        </row>
        <row r="275">
          <cell r="G275" t="str">
            <v>住宅-毛坯普宅</v>
          </cell>
          <cell r="H275" t="str">
            <v>回款含税(元）</v>
          </cell>
        </row>
        <row r="275">
          <cell r="N275">
            <v>0</v>
          </cell>
        </row>
        <row r="275"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</row>
        <row r="276">
          <cell r="B276" t="str">
            <v>海沧中心璞瑞项目</v>
          </cell>
        </row>
        <row r="276">
          <cell r="G276" t="str">
            <v>住宅-精装非普宅</v>
          </cell>
          <cell r="H276" t="str">
            <v>回款含税(元）</v>
          </cell>
        </row>
        <row r="276">
          <cell r="N276">
            <v>285295200</v>
          </cell>
        </row>
        <row r="276">
          <cell r="V276">
            <v>254699400</v>
          </cell>
          <cell r="W276">
            <v>1281543245</v>
          </cell>
          <cell r="X276">
            <v>927400000</v>
          </cell>
          <cell r="Y276">
            <v>279044195.25</v>
          </cell>
          <cell r="Z276">
            <v>10149170.75</v>
          </cell>
          <cell r="AA276">
            <v>0</v>
          </cell>
          <cell r="AB276">
            <v>0</v>
          </cell>
        </row>
        <row r="277">
          <cell r="B277" t="str">
            <v>海沧中心璞瑞项目</v>
          </cell>
        </row>
        <row r="277">
          <cell r="G277" t="str">
            <v>住宅-毛坯非普宅</v>
          </cell>
          <cell r="H277" t="str">
            <v>回款含税(元）</v>
          </cell>
        </row>
        <row r="277">
          <cell r="N277">
            <v>0</v>
          </cell>
        </row>
        <row r="277"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B278" t="str">
            <v>海沧中心璞瑞项目</v>
          </cell>
        </row>
        <row r="278">
          <cell r="G278" t="str">
            <v>住宅-毛坯非普宅</v>
          </cell>
          <cell r="H278" t="str">
            <v>回款含税(元）</v>
          </cell>
        </row>
        <row r="278">
          <cell r="N278">
            <v>0</v>
          </cell>
        </row>
        <row r="278"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B279" t="str">
            <v>海沧中心璞瑞项目</v>
          </cell>
        </row>
        <row r="279">
          <cell r="G279" t="str">
            <v>办公楼</v>
          </cell>
          <cell r="H279" t="str">
            <v>回款含税(元）</v>
          </cell>
        </row>
        <row r="279">
          <cell r="N279">
            <v>0</v>
          </cell>
        </row>
        <row r="279"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B280" t="str">
            <v>海沧中心璞瑞项目</v>
          </cell>
        </row>
        <row r="280">
          <cell r="G280" t="str">
            <v>商业</v>
          </cell>
          <cell r="H280" t="str">
            <v>回款含税(元）</v>
          </cell>
        </row>
        <row r="280">
          <cell r="N280">
            <v>0</v>
          </cell>
        </row>
        <row r="280"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104245560</v>
          </cell>
        </row>
        <row r="281">
          <cell r="B281" t="str">
            <v>海沧中心璞瑞项目</v>
          </cell>
        </row>
        <row r="281">
          <cell r="G281" t="str">
            <v>车位</v>
          </cell>
          <cell r="H281" t="str">
            <v>回款含税(元）</v>
          </cell>
        </row>
        <row r="281">
          <cell r="N281">
            <v>79970000</v>
          </cell>
        </row>
        <row r="281">
          <cell r="V281">
            <v>28890000</v>
          </cell>
          <cell r="W281">
            <v>2540000</v>
          </cell>
          <cell r="X281">
            <v>65500000</v>
          </cell>
          <cell r="Y281">
            <v>65700000</v>
          </cell>
          <cell r="Z281">
            <v>115100000</v>
          </cell>
          <cell r="AA281">
            <v>21700000</v>
          </cell>
          <cell r="AB281">
            <v>0</v>
          </cell>
        </row>
        <row r="282">
          <cell r="B282" t="str">
            <v>海沧中心璞瑞项目</v>
          </cell>
        </row>
        <row r="282">
          <cell r="G282" t="str">
            <v>住宅-精装普宅</v>
          </cell>
          <cell r="H282" t="str">
            <v>回款含税(元）（非贷款类回款）</v>
          </cell>
        </row>
        <row r="282">
          <cell r="N282">
            <v>1443251000</v>
          </cell>
        </row>
        <row r="282">
          <cell r="V282">
            <v>379731800</v>
          </cell>
          <cell r="W282">
            <v>24255000</v>
          </cell>
          <cell r="X282">
            <v>275000000</v>
          </cell>
          <cell r="Y282">
            <v>213778947</v>
          </cell>
          <cell r="Z282">
            <v>0</v>
          </cell>
          <cell r="AA282">
            <v>0</v>
          </cell>
          <cell r="AB282">
            <v>0</v>
          </cell>
        </row>
        <row r="283">
          <cell r="B283" t="str">
            <v>海沧中心璞瑞项目</v>
          </cell>
        </row>
        <row r="283">
          <cell r="G283" t="str">
            <v>住宅-毛坯普宅</v>
          </cell>
          <cell r="H283" t="str">
            <v>回款含税(元）（非贷款类回款）</v>
          </cell>
        </row>
        <row r="283"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B284" t="str">
            <v>海沧中心璞瑞项目</v>
          </cell>
        </row>
        <row r="284">
          <cell r="G284" t="str">
            <v>住宅-精装非普宅</v>
          </cell>
          <cell r="H284" t="str">
            <v>回款含税(元）（非贷款类回款）</v>
          </cell>
        </row>
        <row r="284">
          <cell r="N284">
            <v>152825200</v>
          </cell>
        </row>
        <row r="284">
          <cell r="V284">
            <v>126089400</v>
          </cell>
          <cell r="W284">
            <v>650475000</v>
          </cell>
          <cell r="X284">
            <v>513000000</v>
          </cell>
          <cell r="Y284">
            <v>80596683</v>
          </cell>
          <cell r="Z284">
            <v>0</v>
          </cell>
          <cell r="AA284">
            <v>0</v>
          </cell>
          <cell r="AB284">
            <v>0</v>
          </cell>
        </row>
        <row r="285">
          <cell r="B285" t="str">
            <v>海沧中心璞瑞项目</v>
          </cell>
        </row>
        <row r="285">
          <cell r="G285" t="str">
            <v>住宅-毛坯非普宅</v>
          </cell>
          <cell r="H285" t="str">
            <v>回款含税(元）（非贷款类回款）</v>
          </cell>
        </row>
        <row r="285"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B286" t="str">
            <v>海沧中心璞瑞项目</v>
          </cell>
        </row>
        <row r="286">
          <cell r="G286" t="str">
            <v>住宅-毛坯非普宅</v>
          </cell>
          <cell r="H286" t="str">
            <v>回款含税(元）（非贷款类回款）</v>
          </cell>
        </row>
        <row r="286"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B287" t="str">
            <v>海沧中心璞瑞项目</v>
          </cell>
        </row>
        <row r="287">
          <cell r="G287" t="str">
            <v>办公楼</v>
          </cell>
          <cell r="H287" t="str">
            <v>回款含税(元）（非贷款类回款）</v>
          </cell>
        </row>
        <row r="287"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B288" t="str">
            <v>海沧中心璞瑞项目</v>
          </cell>
        </row>
        <row r="288">
          <cell r="G288" t="str">
            <v>商业</v>
          </cell>
          <cell r="H288" t="str">
            <v>回款含税(元）（非贷款类回款）</v>
          </cell>
        </row>
        <row r="288"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52122780</v>
          </cell>
        </row>
        <row r="289">
          <cell r="B289" t="str">
            <v>海沧中心璞瑞项目</v>
          </cell>
        </row>
        <row r="289">
          <cell r="G289" t="str">
            <v>车位</v>
          </cell>
          <cell r="H289" t="str">
            <v>回款含税(元）（非贷款类回款）</v>
          </cell>
        </row>
        <row r="289">
          <cell r="N289">
            <v>65670000</v>
          </cell>
        </row>
        <row r="289">
          <cell r="V289">
            <v>24550000</v>
          </cell>
          <cell r="W289">
            <v>640000</v>
          </cell>
          <cell r="X289">
            <v>37900000</v>
          </cell>
          <cell r="Y289">
            <v>32700000</v>
          </cell>
          <cell r="Z289">
            <v>63400000</v>
          </cell>
          <cell r="AA289">
            <v>0</v>
          </cell>
          <cell r="AB289">
            <v>0</v>
          </cell>
        </row>
        <row r="290">
          <cell r="B290" t="str">
            <v>海沧中心璞瑞项目</v>
          </cell>
        </row>
        <row r="290">
          <cell r="G290" t="str">
            <v>住宅-精装普宅</v>
          </cell>
          <cell r="H290" t="str">
            <v>回款含税(元）（贷款类回款）</v>
          </cell>
        </row>
        <row r="290">
          <cell r="N290">
            <v>1319576000</v>
          </cell>
        </row>
        <row r="290">
          <cell r="V290">
            <v>447694000</v>
          </cell>
          <cell r="W290">
            <v>67471284</v>
          </cell>
          <cell r="X290">
            <v>200000000</v>
          </cell>
          <cell r="Y290">
            <v>235334210.25</v>
          </cell>
          <cell r="Z290">
            <v>53444736.75</v>
          </cell>
          <cell r="AA290">
            <v>0</v>
          </cell>
          <cell r="AB290">
            <v>0</v>
          </cell>
        </row>
        <row r="291">
          <cell r="B291" t="str">
            <v>海沧中心璞瑞项目</v>
          </cell>
        </row>
        <row r="291">
          <cell r="G291" t="str">
            <v>住宅-毛坯普宅</v>
          </cell>
          <cell r="H291" t="str">
            <v>回款含税(元）（贷款类回款）</v>
          </cell>
        </row>
        <row r="291"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B292" t="str">
            <v>海沧中心璞瑞项目</v>
          </cell>
        </row>
        <row r="292">
          <cell r="G292" t="str">
            <v>住宅-精装非普宅</v>
          </cell>
          <cell r="H292" t="str">
            <v>回款含税(元）（贷款类回款）</v>
          </cell>
        </row>
        <row r="292">
          <cell r="N292">
            <v>132470000</v>
          </cell>
        </row>
        <row r="292">
          <cell r="V292">
            <v>128610000</v>
          </cell>
          <cell r="W292">
            <v>631068245</v>
          </cell>
          <cell r="X292">
            <v>414400000</v>
          </cell>
          <cell r="Y292">
            <v>198447512.25</v>
          </cell>
          <cell r="Z292">
            <v>10149170.75</v>
          </cell>
          <cell r="AA292">
            <v>0</v>
          </cell>
          <cell r="AB292">
            <v>0</v>
          </cell>
        </row>
        <row r="293">
          <cell r="B293" t="str">
            <v>海沧中心璞瑞项目</v>
          </cell>
        </row>
        <row r="293">
          <cell r="G293" t="str">
            <v>住宅-毛坯非普宅</v>
          </cell>
          <cell r="H293" t="str">
            <v>回款含税(元）（贷款类回款）</v>
          </cell>
        </row>
        <row r="293"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B294" t="str">
            <v>海沧中心璞瑞项目</v>
          </cell>
        </row>
        <row r="294">
          <cell r="G294" t="str">
            <v>住宅-毛坯非普宅</v>
          </cell>
          <cell r="H294" t="str">
            <v>回款含税(元）（贷款类回款）</v>
          </cell>
        </row>
        <row r="294"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B295" t="str">
            <v>海沧中心璞瑞项目</v>
          </cell>
        </row>
        <row r="295">
          <cell r="G295" t="str">
            <v>办公楼</v>
          </cell>
          <cell r="H295" t="str">
            <v>回款含税(元）（贷款类回款）</v>
          </cell>
        </row>
        <row r="295"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B296" t="str">
            <v>海沧中心璞瑞项目</v>
          </cell>
        </row>
        <row r="296">
          <cell r="G296" t="str">
            <v>商业</v>
          </cell>
          <cell r="H296" t="str">
            <v>回款含税(元）（贷款类回款）</v>
          </cell>
        </row>
        <row r="296"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52122780</v>
          </cell>
        </row>
        <row r="297">
          <cell r="B297" t="str">
            <v>海沧中心璞瑞项目</v>
          </cell>
        </row>
        <row r="297">
          <cell r="G297" t="str">
            <v>车位</v>
          </cell>
          <cell r="H297" t="str">
            <v>回款含税(元）（贷款类回款）</v>
          </cell>
        </row>
        <row r="297">
          <cell r="N297">
            <v>14300000</v>
          </cell>
        </row>
        <row r="297">
          <cell r="V297">
            <v>4340000</v>
          </cell>
          <cell r="W297">
            <v>1900000</v>
          </cell>
          <cell r="X297">
            <v>27600000</v>
          </cell>
          <cell r="Y297">
            <v>33000000</v>
          </cell>
          <cell r="Z297">
            <v>51700000</v>
          </cell>
          <cell r="AA297">
            <v>21700000</v>
          </cell>
          <cell r="AB297">
            <v>0</v>
          </cell>
        </row>
        <row r="298">
          <cell r="B298" t="str">
            <v>海沧中心璞盛项目</v>
          </cell>
        </row>
        <row r="298">
          <cell r="G298" t="str">
            <v>住宅-精装普宅</v>
          </cell>
          <cell r="H298" t="str">
            <v>套数（套）</v>
          </cell>
        </row>
        <row r="298">
          <cell r="N298">
            <v>522</v>
          </cell>
        </row>
        <row r="298">
          <cell r="V298">
            <v>334</v>
          </cell>
          <cell r="W298">
            <v>31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B299" t="str">
            <v>海沧中心璞盛项目</v>
          </cell>
        </row>
        <row r="299">
          <cell r="G299" t="str">
            <v>住宅-毛坯普宅</v>
          </cell>
          <cell r="H299" t="str">
            <v>套数（套）</v>
          </cell>
        </row>
        <row r="299">
          <cell r="N299">
            <v>0</v>
          </cell>
        </row>
        <row r="299"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B300" t="str">
            <v>海沧中心璞盛项目</v>
          </cell>
        </row>
        <row r="300">
          <cell r="G300" t="str">
            <v>住宅-精装非普宅</v>
          </cell>
          <cell r="H300" t="str">
            <v>套数（套）</v>
          </cell>
        </row>
        <row r="300">
          <cell r="N300">
            <v>0</v>
          </cell>
        </row>
        <row r="300">
          <cell r="V300">
            <v>0</v>
          </cell>
          <cell r="W300">
            <v>102</v>
          </cell>
          <cell r="X300">
            <v>66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B301" t="str">
            <v>海沧中心璞盛项目</v>
          </cell>
        </row>
        <row r="301">
          <cell r="G301" t="str">
            <v>住宅-毛坯非普宅</v>
          </cell>
          <cell r="H301" t="str">
            <v>套数（套）</v>
          </cell>
        </row>
        <row r="301">
          <cell r="N301">
            <v>0</v>
          </cell>
        </row>
        <row r="301"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B302" t="str">
            <v>海沧中心璞盛项目</v>
          </cell>
        </row>
        <row r="302">
          <cell r="G302" t="str">
            <v>住宅-毛坯非普宅</v>
          </cell>
          <cell r="H302" t="str">
            <v>套数（套）</v>
          </cell>
        </row>
        <row r="302">
          <cell r="N302">
            <v>0</v>
          </cell>
        </row>
        <row r="302"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B303" t="str">
            <v>海沧中心璞盛项目</v>
          </cell>
        </row>
        <row r="303">
          <cell r="G303" t="str">
            <v>办公楼</v>
          </cell>
          <cell r="H303" t="str">
            <v>套数（套）</v>
          </cell>
        </row>
        <row r="303">
          <cell r="N303">
            <v>0</v>
          </cell>
        </row>
        <row r="303"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B304" t="str">
            <v>海沧中心璞盛项目</v>
          </cell>
        </row>
        <row r="304">
          <cell r="G304" t="str">
            <v>商业</v>
          </cell>
          <cell r="H304" t="str">
            <v>套数（套）</v>
          </cell>
        </row>
        <row r="304">
          <cell r="N304">
            <v>0</v>
          </cell>
        </row>
        <row r="304"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51</v>
          </cell>
          <cell r="AB304">
            <v>0</v>
          </cell>
        </row>
        <row r="305">
          <cell r="B305" t="str">
            <v>海沧中心璞盛项目</v>
          </cell>
        </row>
        <row r="305">
          <cell r="G305" t="str">
            <v>车位</v>
          </cell>
          <cell r="H305" t="str">
            <v>套数（套）</v>
          </cell>
        </row>
        <row r="305">
          <cell r="N305">
            <v>0</v>
          </cell>
        </row>
        <row r="305">
          <cell r="V305">
            <v>110</v>
          </cell>
          <cell r="W305">
            <v>38</v>
          </cell>
          <cell r="X305">
            <v>230</v>
          </cell>
          <cell r="Y305">
            <v>272</v>
          </cell>
          <cell r="Z305">
            <v>0</v>
          </cell>
          <cell r="AA305">
            <v>0</v>
          </cell>
          <cell r="AB305">
            <v>0</v>
          </cell>
        </row>
        <row r="306">
          <cell r="B306" t="str">
            <v>海沧中心璞盛项目</v>
          </cell>
        </row>
        <row r="306">
          <cell r="G306" t="str">
            <v>住宅-精装普宅</v>
          </cell>
          <cell r="H306" t="str">
            <v>面积（㎡）</v>
          </cell>
        </row>
        <row r="306">
          <cell r="N306">
            <v>52538.62</v>
          </cell>
        </row>
        <row r="306">
          <cell r="V306">
            <v>34774.7</v>
          </cell>
          <cell r="W306">
            <v>4118.75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B307" t="str">
            <v>海沧中心璞盛项目</v>
          </cell>
        </row>
        <row r="307">
          <cell r="G307" t="str">
            <v>住宅-毛坯普宅</v>
          </cell>
          <cell r="H307" t="str">
            <v>面积（㎡）</v>
          </cell>
        </row>
        <row r="307">
          <cell r="N307">
            <v>0</v>
          </cell>
        </row>
        <row r="307"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B308" t="str">
            <v>海沧中心璞盛项目</v>
          </cell>
        </row>
        <row r="308">
          <cell r="G308" t="str">
            <v>住宅-精装非普宅</v>
          </cell>
          <cell r="H308" t="str">
            <v>面积（㎡）</v>
          </cell>
        </row>
        <row r="308">
          <cell r="N308">
            <v>0</v>
          </cell>
        </row>
        <row r="308">
          <cell r="V308">
            <v>0</v>
          </cell>
          <cell r="W308">
            <v>17543.6721428572</v>
          </cell>
          <cell r="X308">
            <v>11351.7878571428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B309" t="str">
            <v>海沧中心璞盛项目</v>
          </cell>
        </row>
        <row r="309">
          <cell r="G309" t="str">
            <v>住宅-毛坯非普宅</v>
          </cell>
          <cell r="H309" t="str">
            <v>面积（㎡）</v>
          </cell>
        </row>
        <row r="309">
          <cell r="N309">
            <v>0</v>
          </cell>
        </row>
        <row r="309"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B310" t="str">
            <v>海沧中心璞盛项目</v>
          </cell>
        </row>
        <row r="310">
          <cell r="G310" t="str">
            <v>住宅-毛坯非普宅</v>
          </cell>
          <cell r="H310" t="str">
            <v>面积（㎡）</v>
          </cell>
        </row>
        <row r="310">
          <cell r="N310">
            <v>0</v>
          </cell>
        </row>
        <row r="310"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B311" t="str">
            <v>海沧中心璞盛项目</v>
          </cell>
        </row>
        <row r="311">
          <cell r="G311" t="str">
            <v>办公楼</v>
          </cell>
          <cell r="H311" t="str">
            <v>面积（㎡）</v>
          </cell>
        </row>
        <row r="311">
          <cell r="N311">
            <v>0</v>
          </cell>
        </row>
        <row r="311"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B312" t="str">
            <v>海沧中心璞盛项目</v>
          </cell>
        </row>
        <row r="312">
          <cell r="G312" t="str">
            <v>商业</v>
          </cell>
          <cell r="H312" t="str">
            <v>面积（㎡）</v>
          </cell>
        </row>
        <row r="312">
          <cell r="N312">
            <v>0</v>
          </cell>
        </row>
        <row r="312"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2367.49</v>
          </cell>
          <cell r="AB312">
            <v>0</v>
          </cell>
        </row>
        <row r="313">
          <cell r="B313" t="str">
            <v>海沧中心璞盛项目</v>
          </cell>
        </row>
        <row r="313">
          <cell r="G313" t="str">
            <v>车位</v>
          </cell>
          <cell r="H313" t="str">
            <v>面积（㎡）</v>
          </cell>
        </row>
        <row r="313">
          <cell r="N313">
            <v>0</v>
          </cell>
        </row>
        <row r="313">
          <cell r="V313">
            <v>4023.69</v>
          </cell>
          <cell r="W313">
            <v>1220.94</v>
          </cell>
          <cell r="X313">
            <v>7409.81</v>
          </cell>
          <cell r="Y313">
            <v>8625.66</v>
          </cell>
          <cell r="Z313">
            <v>0</v>
          </cell>
          <cell r="AA313">
            <v>0</v>
          </cell>
          <cell r="AB313">
            <v>0</v>
          </cell>
        </row>
        <row r="314">
          <cell r="B314" t="str">
            <v>海沧中心璞盛项目</v>
          </cell>
        </row>
        <row r="314">
          <cell r="G314" t="str">
            <v>住宅-精装普宅</v>
          </cell>
          <cell r="H314" t="str">
            <v>签约(元）</v>
          </cell>
        </row>
        <row r="314">
          <cell r="N314">
            <v>1733432168</v>
          </cell>
        </row>
        <row r="314">
          <cell r="V314">
            <v>1191591579</v>
          </cell>
          <cell r="W314">
            <v>138725446.416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B315" t="str">
            <v>海沧中心璞盛项目</v>
          </cell>
        </row>
        <row r="315">
          <cell r="G315" t="str">
            <v>住宅-毛坯普宅</v>
          </cell>
          <cell r="H315" t="str">
            <v>签约(元）</v>
          </cell>
        </row>
        <row r="315">
          <cell r="N315">
            <v>0</v>
          </cell>
        </row>
        <row r="315"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B316" t="str">
            <v>海沧中心璞盛项目</v>
          </cell>
        </row>
        <row r="316">
          <cell r="G316" t="str">
            <v>住宅-精装非普宅</v>
          </cell>
          <cell r="H316" t="str">
            <v>签约(元）</v>
          </cell>
        </row>
        <row r="316">
          <cell r="N316">
            <v>0</v>
          </cell>
        </row>
        <row r="316">
          <cell r="V316">
            <v>0</v>
          </cell>
          <cell r="W316">
            <v>530400000</v>
          </cell>
          <cell r="X316">
            <v>368672913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B317" t="str">
            <v>海沧中心璞盛项目</v>
          </cell>
        </row>
        <row r="317">
          <cell r="G317" t="str">
            <v>住宅-毛坯非普宅</v>
          </cell>
          <cell r="H317" t="str">
            <v>签约(元）</v>
          </cell>
        </row>
        <row r="317">
          <cell r="N317">
            <v>0</v>
          </cell>
        </row>
        <row r="317"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B318" t="str">
            <v>海沧中心璞盛项目</v>
          </cell>
        </row>
        <row r="318">
          <cell r="G318" t="str">
            <v>住宅-毛坯非普宅</v>
          </cell>
          <cell r="H318" t="str">
            <v>签约(元）</v>
          </cell>
        </row>
        <row r="318">
          <cell r="N318">
            <v>0</v>
          </cell>
        </row>
        <row r="318"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B319" t="str">
            <v>海沧中心璞盛项目</v>
          </cell>
        </row>
        <row r="319">
          <cell r="G319" t="str">
            <v>办公楼</v>
          </cell>
          <cell r="H319" t="str">
            <v>签约(元）</v>
          </cell>
        </row>
        <row r="319">
          <cell r="N319">
            <v>0</v>
          </cell>
        </row>
        <row r="319"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B320" t="str">
            <v>海沧中心璞盛项目</v>
          </cell>
        </row>
        <row r="320">
          <cell r="G320" t="str">
            <v>商业</v>
          </cell>
          <cell r="H320" t="str">
            <v>签约(元）</v>
          </cell>
        </row>
        <row r="320">
          <cell r="N320">
            <v>0</v>
          </cell>
        </row>
        <row r="320"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71024700</v>
          </cell>
          <cell r="AB320">
            <v>0</v>
          </cell>
        </row>
        <row r="321">
          <cell r="B321" t="str">
            <v>海沧中心璞盛项目</v>
          </cell>
        </row>
        <row r="321">
          <cell r="G321" t="str">
            <v>车位</v>
          </cell>
          <cell r="H321" t="str">
            <v>签约(元）</v>
          </cell>
        </row>
        <row r="321">
          <cell r="N321">
            <v>0</v>
          </cell>
        </row>
        <row r="321">
          <cell r="V321">
            <v>28410000</v>
          </cell>
          <cell r="W321">
            <v>6080000</v>
          </cell>
          <cell r="X321">
            <v>39168900</v>
          </cell>
          <cell r="Y321">
            <v>44241100</v>
          </cell>
          <cell r="Z321">
            <v>0</v>
          </cell>
          <cell r="AA321">
            <v>0</v>
          </cell>
          <cell r="AB321">
            <v>0</v>
          </cell>
        </row>
        <row r="322">
          <cell r="B322" t="str">
            <v>海沧中心璞盛项目</v>
          </cell>
        </row>
        <row r="322">
          <cell r="G322" t="str">
            <v>住宅-精装普宅</v>
          </cell>
          <cell r="H322" t="str">
            <v>回款含税(元）</v>
          </cell>
        </row>
        <row r="322">
          <cell r="N322">
            <v>584808087</v>
          </cell>
        </row>
        <row r="322">
          <cell r="V322">
            <v>2319716700</v>
          </cell>
          <cell r="W322">
            <v>151757171.716834</v>
          </cell>
          <cell r="X322">
            <v>7467234.69916669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B323" t="str">
            <v>海沧中心璞盛项目</v>
          </cell>
        </row>
        <row r="323">
          <cell r="G323" t="str">
            <v>住宅-毛坯普宅</v>
          </cell>
          <cell r="H323" t="str">
            <v>回款含税(元）</v>
          </cell>
        </row>
        <row r="323">
          <cell r="N323">
            <v>0</v>
          </cell>
        </row>
        <row r="323"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B324" t="str">
            <v>海沧中心璞盛项目</v>
          </cell>
        </row>
        <row r="324">
          <cell r="G324" t="str">
            <v>住宅-精装非普宅</v>
          </cell>
          <cell r="H324" t="str">
            <v>回款含税(元）</v>
          </cell>
        </row>
        <row r="324">
          <cell r="N324">
            <v>0</v>
          </cell>
        </row>
        <row r="324">
          <cell r="V324">
            <v>0</v>
          </cell>
          <cell r="W324">
            <v>482066000</v>
          </cell>
          <cell r="X324">
            <v>370170456.5</v>
          </cell>
          <cell r="Y324">
            <v>46836456.5</v>
          </cell>
          <cell r="Z324">
            <v>0</v>
          </cell>
          <cell r="AA324">
            <v>0</v>
          </cell>
          <cell r="AB324">
            <v>0</v>
          </cell>
        </row>
        <row r="325">
          <cell r="B325" t="str">
            <v>海沧中心璞盛项目</v>
          </cell>
        </row>
        <row r="325">
          <cell r="G325" t="str">
            <v>住宅-毛坯非普宅</v>
          </cell>
          <cell r="H325" t="str">
            <v>回款含税(元）</v>
          </cell>
        </row>
        <row r="325">
          <cell r="N325">
            <v>0</v>
          </cell>
        </row>
        <row r="325"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B326" t="str">
            <v>海沧中心璞盛项目</v>
          </cell>
        </row>
        <row r="326">
          <cell r="G326" t="str">
            <v>住宅-毛坯非普宅</v>
          </cell>
          <cell r="H326" t="str">
            <v>回款含税(元）</v>
          </cell>
        </row>
        <row r="326">
          <cell r="N326">
            <v>0</v>
          </cell>
        </row>
        <row r="326"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</row>
        <row r="327">
          <cell r="B327" t="str">
            <v>海沧中心璞盛项目</v>
          </cell>
        </row>
        <row r="327">
          <cell r="G327" t="str">
            <v>办公楼</v>
          </cell>
          <cell r="H327" t="str">
            <v>回款含税(元）</v>
          </cell>
        </row>
        <row r="327">
          <cell r="N327">
            <v>0</v>
          </cell>
        </row>
        <row r="327"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B328" t="str">
            <v>海沧中心璞盛项目</v>
          </cell>
        </row>
        <row r="328">
          <cell r="G328" t="str">
            <v>商业</v>
          </cell>
          <cell r="H328" t="str">
            <v>回款含税(元）</v>
          </cell>
        </row>
        <row r="328">
          <cell r="N328">
            <v>0</v>
          </cell>
        </row>
        <row r="328"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71024700</v>
          </cell>
          <cell r="AB328">
            <v>0</v>
          </cell>
        </row>
        <row r="329">
          <cell r="B329" t="str">
            <v>海沧中心璞盛项目</v>
          </cell>
        </row>
        <row r="329">
          <cell r="G329" t="str">
            <v>车位</v>
          </cell>
          <cell r="H329" t="str">
            <v>回款含税(元）</v>
          </cell>
        </row>
        <row r="329">
          <cell r="N329">
            <v>0</v>
          </cell>
        </row>
        <row r="329">
          <cell r="V329">
            <v>28470000</v>
          </cell>
          <cell r="W329">
            <v>5636000</v>
          </cell>
          <cell r="X329">
            <v>35385400</v>
          </cell>
          <cell r="Y329">
            <v>42878462.5</v>
          </cell>
          <cell r="Z329">
            <v>5530137.5</v>
          </cell>
          <cell r="AA329">
            <v>0</v>
          </cell>
          <cell r="AB329">
            <v>0</v>
          </cell>
        </row>
        <row r="330">
          <cell r="B330" t="str">
            <v>海沧中心璞盛项目</v>
          </cell>
        </row>
        <row r="330">
          <cell r="G330" t="str">
            <v>住宅-精装普宅</v>
          </cell>
          <cell r="H330" t="str">
            <v>回款含税(元）（非贷款类回款）</v>
          </cell>
        </row>
        <row r="330">
          <cell r="N330">
            <v>584808087</v>
          </cell>
        </row>
        <row r="330">
          <cell r="V330">
            <v>679930700</v>
          </cell>
          <cell r="W330">
            <v>69362723.2080002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</row>
        <row r="331">
          <cell r="B331" t="str">
            <v>海沧中心璞盛项目</v>
          </cell>
        </row>
        <row r="331">
          <cell r="G331" t="str">
            <v>住宅-毛坯普宅</v>
          </cell>
          <cell r="H331" t="str">
            <v>回款含税(元）（非贷款类回款）</v>
          </cell>
        </row>
        <row r="331">
          <cell r="N331">
            <v>0</v>
          </cell>
        </row>
        <row r="331"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B332" t="str">
            <v>海沧中心璞盛项目</v>
          </cell>
        </row>
        <row r="332">
          <cell r="G332" t="str">
            <v>住宅-精装非普宅</v>
          </cell>
          <cell r="H332" t="str">
            <v>回款含税(元）（非贷款类回款）</v>
          </cell>
        </row>
        <row r="332">
          <cell r="N332">
            <v>0</v>
          </cell>
        </row>
        <row r="332">
          <cell r="V332">
            <v>0</v>
          </cell>
          <cell r="W332">
            <v>265200000</v>
          </cell>
          <cell r="X332">
            <v>184336456.5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B333" t="str">
            <v>海沧中心璞盛项目</v>
          </cell>
        </row>
        <row r="333">
          <cell r="G333" t="str">
            <v>住宅-毛坯非普宅</v>
          </cell>
          <cell r="H333" t="str">
            <v>回款含税(元）（非贷款类回款）</v>
          </cell>
        </row>
        <row r="333">
          <cell r="N333">
            <v>0</v>
          </cell>
        </row>
        <row r="333"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B334" t="str">
            <v>海沧中心璞盛项目</v>
          </cell>
        </row>
        <row r="334">
          <cell r="G334" t="str">
            <v>住宅-毛坯非普宅</v>
          </cell>
          <cell r="H334" t="str">
            <v>回款含税(元）（非贷款类回款）</v>
          </cell>
        </row>
        <row r="334">
          <cell r="N334">
            <v>0</v>
          </cell>
        </row>
        <row r="334"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</row>
        <row r="335">
          <cell r="B335" t="str">
            <v>海沧中心璞盛项目</v>
          </cell>
        </row>
        <row r="335">
          <cell r="G335" t="str">
            <v>办公楼</v>
          </cell>
          <cell r="H335" t="str">
            <v>回款含税(元）（非贷款类回款）</v>
          </cell>
        </row>
        <row r="335">
          <cell r="N335">
            <v>0</v>
          </cell>
        </row>
        <row r="335"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</row>
        <row r="336">
          <cell r="B336" t="str">
            <v>海沧中心璞盛项目</v>
          </cell>
        </row>
        <row r="336">
          <cell r="G336" t="str">
            <v>商业</v>
          </cell>
          <cell r="H336" t="str">
            <v>回款含税(元）（非贷款类回款）</v>
          </cell>
        </row>
        <row r="336">
          <cell r="N336">
            <v>0</v>
          </cell>
        </row>
        <row r="336"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35512350</v>
          </cell>
          <cell r="AB336">
            <v>0</v>
          </cell>
        </row>
        <row r="337">
          <cell r="B337" t="str">
            <v>海沧中心璞盛项目</v>
          </cell>
        </row>
        <row r="337">
          <cell r="G337" t="str">
            <v>车位</v>
          </cell>
          <cell r="H337" t="str">
            <v>回款含税(元）（非贷款类回款）</v>
          </cell>
        </row>
        <row r="337">
          <cell r="N337">
            <v>0</v>
          </cell>
        </row>
        <row r="337">
          <cell r="V337">
            <v>26385000</v>
          </cell>
          <cell r="W337">
            <v>2432000</v>
          </cell>
          <cell r="X337">
            <v>19584450</v>
          </cell>
          <cell r="Y337">
            <v>22120550</v>
          </cell>
          <cell r="Z337">
            <v>0</v>
          </cell>
          <cell r="AA337">
            <v>0</v>
          </cell>
          <cell r="AB337">
            <v>0</v>
          </cell>
        </row>
        <row r="338">
          <cell r="B338" t="str">
            <v>海沧中心璞盛项目</v>
          </cell>
        </row>
        <row r="338">
          <cell r="G338" t="str">
            <v>住宅-精装普宅</v>
          </cell>
          <cell r="H338" t="str">
            <v>回款含税(元）（贷款类回款）</v>
          </cell>
        </row>
        <row r="338">
          <cell r="N338">
            <v>0</v>
          </cell>
        </row>
        <row r="338">
          <cell r="V338">
            <v>1639786000</v>
          </cell>
          <cell r="W338">
            <v>82394448.5088335</v>
          </cell>
          <cell r="X338">
            <v>7467234.69916669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</row>
        <row r="339">
          <cell r="B339" t="str">
            <v>海沧中心璞盛项目</v>
          </cell>
        </row>
        <row r="339">
          <cell r="G339" t="str">
            <v>住宅-毛坯普宅</v>
          </cell>
          <cell r="H339" t="str">
            <v>回款含税(元）（贷款类回款）</v>
          </cell>
        </row>
        <row r="339">
          <cell r="N339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</row>
        <row r="340">
          <cell r="B340" t="str">
            <v>海沧中心璞盛项目</v>
          </cell>
        </row>
        <row r="340">
          <cell r="G340" t="str">
            <v>住宅-精装非普宅</v>
          </cell>
          <cell r="H340" t="str">
            <v>回款含税(元）（贷款类回款）</v>
          </cell>
        </row>
        <row r="340">
          <cell r="N340">
            <v>0</v>
          </cell>
        </row>
        <row r="340">
          <cell r="V340">
            <v>0</v>
          </cell>
          <cell r="W340">
            <v>216866000</v>
          </cell>
          <cell r="X340">
            <v>185834000</v>
          </cell>
          <cell r="Y340">
            <v>46836456.5</v>
          </cell>
          <cell r="Z340">
            <v>0</v>
          </cell>
          <cell r="AA340">
            <v>0</v>
          </cell>
          <cell r="AB340">
            <v>0</v>
          </cell>
        </row>
        <row r="341">
          <cell r="B341" t="str">
            <v>海沧中心璞盛项目</v>
          </cell>
        </row>
        <row r="341">
          <cell r="G341" t="str">
            <v>住宅-毛坯非普宅</v>
          </cell>
          <cell r="H341" t="str">
            <v>回款含税(元）（贷款类回款）</v>
          </cell>
        </row>
        <row r="341">
          <cell r="N341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B342" t="str">
            <v>海沧中心璞盛项目</v>
          </cell>
        </row>
        <row r="342">
          <cell r="G342" t="str">
            <v>住宅-毛坯非普宅</v>
          </cell>
          <cell r="H342" t="str">
            <v>回款含税(元）（贷款类回款）</v>
          </cell>
        </row>
        <row r="342">
          <cell r="N342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</row>
        <row r="343">
          <cell r="B343" t="str">
            <v>海沧中心璞盛项目</v>
          </cell>
        </row>
        <row r="343">
          <cell r="G343" t="str">
            <v>办公楼</v>
          </cell>
          <cell r="H343" t="str">
            <v>回款含税(元）（贷款类回款）</v>
          </cell>
        </row>
        <row r="343">
          <cell r="N343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</row>
        <row r="344">
          <cell r="B344" t="str">
            <v>海沧中心璞盛项目</v>
          </cell>
        </row>
        <row r="344">
          <cell r="G344" t="str">
            <v>商业</v>
          </cell>
          <cell r="H344" t="str">
            <v>回款含税(元）（贷款类回款）</v>
          </cell>
        </row>
        <row r="344">
          <cell r="N344">
            <v>0</v>
          </cell>
        </row>
        <row r="344"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35512350</v>
          </cell>
          <cell r="AB344">
            <v>0</v>
          </cell>
        </row>
        <row r="345">
          <cell r="B345" t="str">
            <v>海沧中心璞盛项目</v>
          </cell>
        </row>
        <row r="345">
          <cell r="G345" t="str">
            <v>车位</v>
          </cell>
          <cell r="H345" t="str">
            <v>回款含税(元）（贷款类回款）</v>
          </cell>
        </row>
        <row r="345">
          <cell r="N345">
            <v>0</v>
          </cell>
        </row>
        <row r="345">
          <cell r="V345">
            <v>2085000</v>
          </cell>
          <cell r="W345">
            <v>3204000</v>
          </cell>
          <cell r="X345">
            <v>15800950</v>
          </cell>
          <cell r="Y345">
            <v>20757912.5</v>
          </cell>
          <cell r="Z345">
            <v>5530137.5</v>
          </cell>
          <cell r="AA345">
            <v>0</v>
          </cell>
          <cell r="AB345">
            <v>0</v>
          </cell>
        </row>
        <row r="346">
          <cell r="B346" t="str">
            <v>海沧中心璞盛项目（一期）</v>
          </cell>
        </row>
        <row r="346">
          <cell r="G346" t="str">
            <v>住宅-精装普宅</v>
          </cell>
          <cell r="H346" t="str">
            <v>套数（套）</v>
          </cell>
        </row>
        <row r="346">
          <cell r="N346">
            <v>509</v>
          </cell>
        </row>
        <row r="346">
          <cell r="V346">
            <v>139</v>
          </cell>
          <cell r="W346">
            <v>12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B347" t="str">
            <v>海沧中心璞盛项目（一期）</v>
          </cell>
        </row>
        <row r="347">
          <cell r="G347" t="str">
            <v>住宅-毛坯普宅</v>
          </cell>
          <cell r="H347" t="str">
            <v>套数（套）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</row>
        <row r="348">
          <cell r="B348" t="str">
            <v>海沧中心璞盛项目（一期）</v>
          </cell>
        </row>
        <row r="348">
          <cell r="G348" t="str">
            <v>住宅-精装非普宅</v>
          </cell>
          <cell r="H348" t="str">
            <v>套数（套）</v>
          </cell>
        </row>
        <row r="348">
          <cell r="V348">
            <v>0</v>
          </cell>
          <cell r="W348">
            <v>102</v>
          </cell>
          <cell r="X348">
            <v>66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</row>
        <row r="349">
          <cell r="B349" t="str">
            <v>海沧中心璞盛项目（一期）</v>
          </cell>
        </row>
        <row r="349">
          <cell r="G349" t="str">
            <v>住宅-毛坯非普宅</v>
          </cell>
          <cell r="H349" t="str">
            <v>套数（套）</v>
          </cell>
        </row>
        <row r="349"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</row>
        <row r="350">
          <cell r="B350" t="str">
            <v>海沧中心璞盛项目（一期）</v>
          </cell>
        </row>
        <row r="350">
          <cell r="G350" t="str">
            <v>住宅-毛坯非普宅</v>
          </cell>
          <cell r="H350" t="str">
            <v>套数（套）</v>
          </cell>
        </row>
        <row r="350"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</row>
        <row r="351">
          <cell r="B351" t="str">
            <v>海沧中心璞盛项目（一期）</v>
          </cell>
        </row>
        <row r="351">
          <cell r="G351" t="str">
            <v>办公楼</v>
          </cell>
          <cell r="H351" t="str">
            <v>套数（套）</v>
          </cell>
        </row>
        <row r="351"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</row>
        <row r="352">
          <cell r="B352" t="str">
            <v>海沧中心璞盛项目（一期）</v>
          </cell>
        </row>
        <row r="352">
          <cell r="G352" t="str">
            <v>商业</v>
          </cell>
          <cell r="H352" t="str">
            <v>套数（套）</v>
          </cell>
        </row>
        <row r="352"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44</v>
          </cell>
          <cell r="AB352">
            <v>0</v>
          </cell>
        </row>
        <row r="353">
          <cell r="B353" t="str">
            <v>海沧中心璞盛项目（一期）</v>
          </cell>
        </row>
        <row r="353">
          <cell r="G353" t="str">
            <v>车位</v>
          </cell>
          <cell r="H353" t="str">
            <v>套数（套）</v>
          </cell>
        </row>
        <row r="353">
          <cell r="V353">
            <v>84</v>
          </cell>
          <cell r="W353">
            <v>38</v>
          </cell>
          <cell r="X353">
            <v>167</v>
          </cell>
          <cell r="Y353">
            <v>272</v>
          </cell>
          <cell r="Z353">
            <v>0</v>
          </cell>
          <cell r="AA353">
            <v>0</v>
          </cell>
          <cell r="AB353">
            <v>0</v>
          </cell>
        </row>
        <row r="354">
          <cell r="B354" t="str">
            <v>海沧中心璞盛项目（一期）</v>
          </cell>
        </row>
        <row r="354">
          <cell r="G354" t="str">
            <v>住宅-精装普宅</v>
          </cell>
          <cell r="H354" t="str">
            <v>面积（㎡）</v>
          </cell>
        </row>
        <row r="354">
          <cell r="N354">
            <v>51344.23</v>
          </cell>
        </row>
        <row r="354">
          <cell r="V354">
            <v>14606.55</v>
          </cell>
          <cell r="W354">
            <v>1584.65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</row>
        <row r="355">
          <cell r="B355" t="str">
            <v>海沧中心璞盛项目（一期）</v>
          </cell>
        </row>
        <row r="355">
          <cell r="G355" t="str">
            <v>住宅-毛坯普宅</v>
          </cell>
          <cell r="H355" t="str">
            <v>面积（㎡）</v>
          </cell>
        </row>
        <row r="355"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</row>
        <row r="356">
          <cell r="B356" t="str">
            <v>海沧中心璞盛项目（一期）</v>
          </cell>
        </row>
        <row r="356">
          <cell r="G356" t="str">
            <v>住宅-精装非普宅</v>
          </cell>
          <cell r="H356" t="str">
            <v>面积（㎡）</v>
          </cell>
        </row>
        <row r="356">
          <cell r="V356">
            <v>0</v>
          </cell>
          <cell r="W356">
            <v>17543.6721428572</v>
          </cell>
          <cell r="X356">
            <v>11351.7878571428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</row>
        <row r="357">
          <cell r="B357" t="str">
            <v>海沧中心璞盛项目（一期）</v>
          </cell>
        </row>
        <row r="357">
          <cell r="G357" t="str">
            <v>住宅-毛坯非普宅</v>
          </cell>
          <cell r="H357" t="str">
            <v>面积（㎡）</v>
          </cell>
        </row>
        <row r="357"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</row>
        <row r="358">
          <cell r="B358" t="str">
            <v>海沧中心璞盛项目（一期）</v>
          </cell>
        </row>
        <row r="358">
          <cell r="G358" t="str">
            <v>住宅-毛坯非普宅</v>
          </cell>
          <cell r="H358" t="str">
            <v>面积（㎡）</v>
          </cell>
        </row>
        <row r="358"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</row>
        <row r="359">
          <cell r="B359" t="str">
            <v>海沧中心璞盛项目（一期）</v>
          </cell>
        </row>
        <row r="359">
          <cell r="G359" t="str">
            <v>办公楼</v>
          </cell>
          <cell r="H359" t="str">
            <v>面积（㎡）</v>
          </cell>
        </row>
        <row r="359"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</row>
        <row r="360">
          <cell r="B360" t="str">
            <v>海沧中心璞盛项目（一期）</v>
          </cell>
        </row>
        <row r="360">
          <cell r="G360" t="str">
            <v>商业</v>
          </cell>
          <cell r="H360" t="str">
            <v>面积（㎡）</v>
          </cell>
        </row>
        <row r="360"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2094.23</v>
          </cell>
          <cell r="AB360">
            <v>0</v>
          </cell>
        </row>
        <row r="361">
          <cell r="B361" t="str">
            <v>海沧中心璞盛项目（一期）</v>
          </cell>
        </row>
        <row r="361">
          <cell r="G361" t="str">
            <v>车位</v>
          </cell>
          <cell r="H361" t="str">
            <v>面积（㎡）</v>
          </cell>
        </row>
        <row r="361">
          <cell r="V361">
            <v>3124.05</v>
          </cell>
          <cell r="W361">
            <v>1220.94</v>
          </cell>
          <cell r="X361">
            <v>5365.71</v>
          </cell>
          <cell r="Y361">
            <v>8625.66</v>
          </cell>
          <cell r="Z361">
            <v>0</v>
          </cell>
          <cell r="AA361">
            <v>0</v>
          </cell>
          <cell r="AB361">
            <v>0</v>
          </cell>
        </row>
        <row r="362">
          <cell r="B362" t="str">
            <v>海沧中心璞盛项目（一期）</v>
          </cell>
        </row>
        <row r="362">
          <cell r="G362" t="str">
            <v>住宅-精装普宅</v>
          </cell>
          <cell r="H362" t="str">
            <v>签约(元）</v>
          </cell>
        </row>
        <row r="362">
          <cell r="N362">
            <v>1690816505</v>
          </cell>
        </row>
        <row r="362">
          <cell r="V362">
            <v>498427825</v>
          </cell>
          <cell r="W362">
            <v>54876958.4160005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</row>
        <row r="363">
          <cell r="B363" t="str">
            <v>海沧中心璞盛项目（一期）</v>
          </cell>
        </row>
        <row r="363">
          <cell r="G363" t="str">
            <v>住宅-毛坯普宅</v>
          </cell>
          <cell r="H363" t="str">
            <v>签约(元）</v>
          </cell>
        </row>
        <row r="363"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</row>
        <row r="364">
          <cell r="B364" t="str">
            <v>海沧中心璞盛项目（一期）</v>
          </cell>
        </row>
        <row r="364">
          <cell r="G364" t="str">
            <v>住宅-精装非普宅</v>
          </cell>
          <cell r="H364" t="str">
            <v>签约(元）</v>
          </cell>
        </row>
        <row r="364">
          <cell r="V364">
            <v>0</v>
          </cell>
          <cell r="W364">
            <v>530400000</v>
          </cell>
          <cell r="X364">
            <v>368672913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</row>
        <row r="365">
          <cell r="B365" t="str">
            <v>海沧中心璞盛项目（一期）</v>
          </cell>
        </row>
        <row r="365">
          <cell r="G365" t="str">
            <v>住宅-毛坯非普宅</v>
          </cell>
          <cell r="H365" t="str">
            <v>签约(元）</v>
          </cell>
        </row>
        <row r="365"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</row>
        <row r="366">
          <cell r="B366" t="str">
            <v>海沧中心璞盛项目（一期）</v>
          </cell>
        </row>
        <row r="366">
          <cell r="G366" t="str">
            <v>住宅-毛坯非普宅</v>
          </cell>
          <cell r="H366" t="str">
            <v>签约(元）</v>
          </cell>
        </row>
        <row r="366"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</row>
        <row r="367">
          <cell r="B367" t="str">
            <v>海沧中心璞盛项目（一期）</v>
          </cell>
        </row>
        <row r="367">
          <cell r="G367" t="str">
            <v>办公楼</v>
          </cell>
          <cell r="H367" t="str">
            <v>签约(元）</v>
          </cell>
        </row>
        <row r="367"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</row>
        <row r="368">
          <cell r="B368" t="str">
            <v>海沧中心璞盛项目（一期）</v>
          </cell>
        </row>
        <row r="368">
          <cell r="G368" t="str">
            <v>商业</v>
          </cell>
          <cell r="H368" t="str">
            <v>签约(元）</v>
          </cell>
        </row>
        <row r="368"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62826900</v>
          </cell>
          <cell r="AB368">
            <v>0</v>
          </cell>
        </row>
        <row r="369">
          <cell r="B369" t="str">
            <v>海沧中心璞盛项目（一期）</v>
          </cell>
        </row>
        <row r="369">
          <cell r="G369" t="str">
            <v>车位</v>
          </cell>
          <cell r="H369" t="str">
            <v>签约(元）</v>
          </cell>
        </row>
        <row r="369">
          <cell r="V369">
            <v>21630000</v>
          </cell>
          <cell r="W369">
            <v>6080000</v>
          </cell>
          <cell r="X369">
            <v>27838900</v>
          </cell>
          <cell r="Y369">
            <v>44241100</v>
          </cell>
          <cell r="Z369">
            <v>0</v>
          </cell>
          <cell r="AA369">
            <v>0</v>
          </cell>
          <cell r="AB369">
            <v>0</v>
          </cell>
        </row>
        <row r="370">
          <cell r="B370" t="str">
            <v>海沧中心璞盛项目（一期）</v>
          </cell>
        </row>
        <row r="370">
          <cell r="G370" t="str">
            <v>住宅-精装普宅</v>
          </cell>
          <cell r="H370" t="str">
            <v>回款含税(元）</v>
          </cell>
        </row>
        <row r="370">
          <cell r="N370">
            <v>584135200</v>
          </cell>
        </row>
        <row r="370">
          <cell r="V370">
            <v>1601010100</v>
          </cell>
          <cell r="W370">
            <v>58975988.4160004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B371" t="str">
            <v>海沧中心璞盛项目（一期）</v>
          </cell>
        </row>
        <row r="371">
          <cell r="G371" t="str">
            <v>住宅-毛坯普宅</v>
          </cell>
          <cell r="H371" t="str">
            <v>回款含税(元）</v>
          </cell>
        </row>
        <row r="371">
          <cell r="N371">
            <v>0</v>
          </cell>
        </row>
        <row r="371"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</row>
        <row r="372">
          <cell r="B372" t="str">
            <v>海沧中心璞盛项目（一期）</v>
          </cell>
        </row>
        <row r="372">
          <cell r="G372" t="str">
            <v>住宅-精装非普宅</v>
          </cell>
          <cell r="H372" t="str">
            <v>回款含税(元）</v>
          </cell>
        </row>
        <row r="372">
          <cell r="N372">
            <v>0</v>
          </cell>
        </row>
        <row r="372">
          <cell r="V372">
            <v>0</v>
          </cell>
          <cell r="W372">
            <v>482066000</v>
          </cell>
          <cell r="X372">
            <v>370170456.5</v>
          </cell>
          <cell r="Y372">
            <v>46836456.5</v>
          </cell>
          <cell r="Z372">
            <v>0</v>
          </cell>
          <cell r="AA372">
            <v>0</v>
          </cell>
          <cell r="AB372">
            <v>0</v>
          </cell>
        </row>
        <row r="373">
          <cell r="B373" t="str">
            <v>海沧中心璞盛项目（一期）</v>
          </cell>
        </row>
        <row r="373">
          <cell r="G373" t="str">
            <v>住宅-毛坯非普宅</v>
          </cell>
          <cell r="H373" t="str">
            <v>回款含税(元）</v>
          </cell>
        </row>
        <row r="373">
          <cell r="N373">
            <v>0</v>
          </cell>
        </row>
        <row r="373"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</row>
        <row r="374">
          <cell r="B374" t="str">
            <v>海沧中心璞盛项目（一期）</v>
          </cell>
        </row>
        <row r="374">
          <cell r="G374" t="str">
            <v>住宅-毛坯非普宅</v>
          </cell>
          <cell r="H374" t="str">
            <v>回款含税(元）</v>
          </cell>
        </row>
        <row r="374">
          <cell r="N374">
            <v>0</v>
          </cell>
        </row>
        <row r="374"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</row>
        <row r="375">
          <cell r="B375" t="str">
            <v>海沧中心璞盛项目（一期）</v>
          </cell>
        </row>
        <row r="375">
          <cell r="G375" t="str">
            <v>办公楼</v>
          </cell>
          <cell r="H375" t="str">
            <v>回款含税(元）</v>
          </cell>
        </row>
        <row r="375">
          <cell r="N375">
            <v>0</v>
          </cell>
        </row>
        <row r="375"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</row>
        <row r="376">
          <cell r="B376" t="str">
            <v>海沧中心璞盛项目（一期）</v>
          </cell>
        </row>
        <row r="376">
          <cell r="G376" t="str">
            <v>商业</v>
          </cell>
          <cell r="H376" t="str">
            <v>回款含税(元）</v>
          </cell>
        </row>
        <row r="376">
          <cell r="N376">
            <v>0</v>
          </cell>
        </row>
        <row r="376"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62826900</v>
          </cell>
          <cell r="AB376">
            <v>0</v>
          </cell>
        </row>
        <row r="377">
          <cell r="B377" t="str">
            <v>海沧中心璞盛项目（一期）</v>
          </cell>
        </row>
        <row r="377">
          <cell r="G377" t="str">
            <v>车位</v>
          </cell>
          <cell r="H377" t="str">
            <v>回款含税(元）</v>
          </cell>
        </row>
        <row r="377">
          <cell r="N377">
            <v>0</v>
          </cell>
        </row>
        <row r="377">
          <cell r="V377">
            <v>21630000</v>
          </cell>
          <cell r="W377">
            <v>5696000</v>
          </cell>
          <cell r="X377">
            <v>24055400</v>
          </cell>
          <cell r="Y377">
            <v>42878462.5</v>
          </cell>
          <cell r="Z377">
            <v>5530137.5</v>
          </cell>
          <cell r="AA377">
            <v>0</v>
          </cell>
          <cell r="AB377">
            <v>0</v>
          </cell>
        </row>
        <row r="378">
          <cell r="B378" t="str">
            <v>海沧中心璞盛项目（一期）</v>
          </cell>
        </row>
        <row r="378">
          <cell r="G378" t="str">
            <v>住宅-精装普宅</v>
          </cell>
          <cell r="H378" t="str">
            <v>回款含税(元）（非贷款类回款）</v>
          </cell>
        </row>
        <row r="378">
          <cell r="N378">
            <v>584135200</v>
          </cell>
        </row>
        <row r="378">
          <cell r="V378">
            <v>286188100</v>
          </cell>
          <cell r="W378">
            <v>27438479.2080002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</row>
        <row r="379">
          <cell r="B379" t="str">
            <v>海沧中心璞盛项目（一期）</v>
          </cell>
        </row>
        <row r="379">
          <cell r="G379" t="str">
            <v>住宅-毛坯普宅</v>
          </cell>
          <cell r="H379" t="str">
            <v>回款含税(元）（非贷款类回款）</v>
          </cell>
        </row>
        <row r="379"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</row>
        <row r="380">
          <cell r="B380" t="str">
            <v>海沧中心璞盛项目（一期）</v>
          </cell>
        </row>
        <row r="380">
          <cell r="G380" t="str">
            <v>住宅-精装非普宅</v>
          </cell>
          <cell r="H380" t="str">
            <v>回款含税(元）（非贷款类回款）</v>
          </cell>
        </row>
        <row r="380">
          <cell r="V380">
            <v>0</v>
          </cell>
          <cell r="W380">
            <v>265200000</v>
          </cell>
          <cell r="X380">
            <v>184336456.5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</row>
        <row r="381">
          <cell r="B381" t="str">
            <v>海沧中心璞盛项目（一期）</v>
          </cell>
        </row>
        <row r="381">
          <cell r="G381" t="str">
            <v>住宅-毛坯非普宅</v>
          </cell>
          <cell r="H381" t="str">
            <v>回款含税(元）（非贷款类回款）</v>
          </cell>
        </row>
        <row r="381"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</row>
        <row r="382">
          <cell r="B382" t="str">
            <v>海沧中心璞盛项目（一期）</v>
          </cell>
        </row>
        <row r="382">
          <cell r="G382" t="str">
            <v>住宅-毛坯非普宅</v>
          </cell>
          <cell r="H382" t="str">
            <v>回款含税(元）（非贷款类回款）</v>
          </cell>
        </row>
        <row r="382"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</row>
        <row r="383">
          <cell r="B383" t="str">
            <v>海沧中心璞盛项目（一期）</v>
          </cell>
        </row>
        <row r="383">
          <cell r="G383" t="str">
            <v>办公楼</v>
          </cell>
          <cell r="H383" t="str">
            <v>回款含税(元）（非贷款类回款）</v>
          </cell>
        </row>
        <row r="383"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B384" t="str">
            <v>海沧中心璞盛项目（一期）</v>
          </cell>
        </row>
        <row r="384">
          <cell r="G384" t="str">
            <v>商业</v>
          </cell>
          <cell r="H384" t="str">
            <v>回款含税(元）（非贷款类回款）</v>
          </cell>
        </row>
        <row r="384"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31413450</v>
          </cell>
          <cell r="AB384">
            <v>0</v>
          </cell>
        </row>
        <row r="385">
          <cell r="B385" t="str">
            <v>海沧中心璞盛项目（一期）</v>
          </cell>
        </row>
        <row r="385">
          <cell r="G385" t="str">
            <v>车位</v>
          </cell>
          <cell r="H385" t="str">
            <v>回款含税(元）（非贷款类回款）</v>
          </cell>
        </row>
        <row r="385">
          <cell r="V385">
            <v>19915000</v>
          </cell>
          <cell r="W385">
            <v>2432000</v>
          </cell>
          <cell r="X385">
            <v>13919450</v>
          </cell>
          <cell r="Y385">
            <v>22120550</v>
          </cell>
          <cell r="Z385">
            <v>0</v>
          </cell>
          <cell r="AA385">
            <v>0</v>
          </cell>
          <cell r="AB385">
            <v>0</v>
          </cell>
        </row>
        <row r="386">
          <cell r="B386" t="str">
            <v>海沧中心璞盛项目（一期）</v>
          </cell>
        </row>
        <row r="386">
          <cell r="G386" t="str">
            <v>住宅-精装普宅</v>
          </cell>
          <cell r="H386" t="str">
            <v>回款含税(元）（贷款类回款）</v>
          </cell>
        </row>
        <row r="386">
          <cell r="V386">
            <v>1314822000</v>
          </cell>
          <cell r="W386">
            <v>31537509.2080002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</row>
        <row r="387">
          <cell r="B387" t="str">
            <v>海沧中心璞盛项目（一期）</v>
          </cell>
        </row>
        <row r="387">
          <cell r="G387" t="str">
            <v>住宅-毛坯普宅</v>
          </cell>
          <cell r="H387" t="str">
            <v>回款含税(元）（贷款类回款）</v>
          </cell>
        </row>
        <row r="387"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</row>
        <row r="388">
          <cell r="B388" t="str">
            <v>海沧中心璞盛项目（一期）</v>
          </cell>
        </row>
        <row r="388">
          <cell r="G388" t="str">
            <v>住宅-精装非普宅</v>
          </cell>
          <cell r="H388" t="str">
            <v>回款含税(元）（贷款类回款）</v>
          </cell>
        </row>
        <row r="388">
          <cell r="V388">
            <v>0</v>
          </cell>
          <cell r="W388">
            <v>216866000</v>
          </cell>
          <cell r="X388">
            <v>185834000</v>
          </cell>
          <cell r="Y388">
            <v>46836456.5</v>
          </cell>
          <cell r="Z388">
            <v>0</v>
          </cell>
          <cell r="AA388">
            <v>0</v>
          </cell>
          <cell r="AB388">
            <v>0</v>
          </cell>
        </row>
        <row r="389">
          <cell r="B389" t="str">
            <v>海沧中心璞盛项目（一期）</v>
          </cell>
        </row>
        <row r="389">
          <cell r="G389" t="str">
            <v>住宅-毛坯非普宅</v>
          </cell>
          <cell r="H389" t="str">
            <v>回款含税(元）（贷款类回款）</v>
          </cell>
        </row>
        <row r="389"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</row>
        <row r="390">
          <cell r="B390" t="str">
            <v>海沧中心璞盛项目（一期）</v>
          </cell>
        </row>
        <row r="390">
          <cell r="G390" t="str">
            <v>住宅-毛坯非普宅</v>
          </cell>
          <cell r="H390" t="str">
            <v>回款含税(元）（贷款类回款）</v>
          </cell>
        </row>
        <row r="390"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</row>
        <row r="391">
          <cell r="B391" t="str">
            <v>海沧中心璞盛项目（一期）</v>
          </cell>
        </row>
        <row r="391">
          <cell r="G391" t="str">
            <v>办公楼</v>
          </cell>
          <cell r="H391" t="str">
            <v>回款含税(元）（贷款类回款）</v>
          </cell>
        </row>
        <row r="391"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</row>
        <row r="392">
          <cell r="B392" t="str">
            <v>海沧中心璞盛项目（一期）</v>
          </cell>
        </row>
        <row r="392">
          <cell r="G392" t="str">
            <v>商业</v>
          </cell>
          <cell r="H392" t="str">
            <v>回款含税(元）（贷款类回款）</v>
          </cell>
        </row>
        <row r="392"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31413450</v>
          </cell>
          <cell r="AB392">
            <v>0</v>
          </cell>
        </row>
        <row r="393">
          <cell r="B393" t="str">
            <v>海沧中心璞盛项目（一期）</v>
          </cell>
        </row>
        <row r="393">
          <cell r="G393" t="str">
            <v>车位</v>
          </cell>
          <cell r="H393" t="str">
            <v>回款含税(元）（贷款类回款）</v>
          </cell>
        </row>
        <row r="393">
          <cell r="V393">
            <v>1715000</v>
          </cell>
          <cell r="W393">
            <v>3264000</v>
          </cell>
          <cell r="X393">
            <v>10135950</v>
          </cell>
          <cell r="Y393">
            <v>20757912.5</v>
          </cell>
          <cell r="Z393">
            <v>5530137.5</v>
          </cell>
          <cell r="AA393">
            <v>0</v>
          </cell>
          <cell r="AB393">
            <v>0</v>
          </cell>
        </row>
        <row r="394">
          <cell r="B394" t="str">
            <v>海沧中心璞盛项目（二期）</v>
          </cell>
        </row>
        <row r="394">
          <cell r="G394" t="str">
            <v>住宅-精装普宅</v>
          </cell>
          <cell r="H394" t="str">
            <v>套数（套）</v>
          </cell>
        </row>
        <row r="394">
          <cell r="N394">
            <v>13</v>
          </cell>
        </row>
        <row r="394">
          <cell r="V394">
            <v>195</v>
          </cell>
          <cell r="W394">
            <v>19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</row>
        <row r="395">
          <cell r="B395" t="str">
            <v>海沧中心璞盛项目（二期）</v>
          </cell>
        </row>
        <row r="395">
          <cell r="G395" t="str">
            <v>住宅-毛坯普宅</v>
          </cell>
          <cell r="H395" t="str">
            <v>套数（套）</v>
          </cell>
        </row>
        <row r="395"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</row>
        <row r="396">
          <cell r="B396" t="str">
            <v>海沧中心璞盛项目（二期）</v>
          </cell>
        </row>
        <row r="396">
          <cell r="G396" t="str">
            <v>住宅-精装非普宅</v>
          </cell>
          <cell r="H396" t="str">
            <v>套数（套）</v>
          </cell>
        </row>
        <row r="396"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</row>
        <row r="397">
          <cell r="B397" t="str">
            <v>海沧中心璞盛项目（二期）</v>
          </cell>
        </row>
        <row r="397">
          <cell r="G397" t="str">
            <v>住宅-毛坯非普宅</v>
          </cell>
          <cell r="H397" t="str">
            <v>套数（套）</v>
          </cell>
        </row>
        <row r="397"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</row>
        <row r="398">
          <cell r="B398" t="str">
            <v>海沧中心璞盛项目（二期）</v>
          </cell>
        </row>
        <row r="398">
          <cell r="G398" t="str">
            <v>住宅-毛坯非普宅</v>
          </cell>
          <cell r="H398" t="str">
            <v>套数（套）</v>
          </cell>
        </row>
        <row r="398"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</row>
        <row r="399">
          <cell r="B399" t="str">
            <v>海沧中心璞盛项目（二期）</v>
          </cell>
        </row>
        <row r="399">
          <cell r="G399" t="str">
            <v>办公楼</v>
          </cell>
          <cell r="H399" t="str">
            <v>套数（套）</v>
          </cell>
        </row>
        <row r="399"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</row>
        <row r="400">
          <cell r="B400" t="str">
            <v>海沧中心璞盛项目（二期）</v>
          </cell>
        </row>
        <row r="400">
          <cell r="G400" t="str">
            <v>商业</v>
          </cell>
          <cell r="H400" t="str">
            <v>套数（套）</v>
          </cell>
        </row>
        <row r="400"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7</v>
          </cell>
          <cell r="AB400">
            <v>0</v>
          </cell>
        </row>
        <row r="401">
          <cell r="B401" t="str">
            <v>海沧中心璞盛项目（二期）</v>
          </cell>
        </row>
        <row r="401">
          <cell r="G401" t="str">
            <v>车位</v>
          </cell>
          <cell r="H401" t="str">
            <v>套数（套）</v>
          </cell>
        </row>
        <row r="401">
          <cell r="V401">
            <v>26</v>
          </cell>
          <cell r="W401">
            <v>0</v>
          </cell>
          <cell r="X401">
            <v>63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</row>
        <row r="402">
          <cell r="B402" t="str">
            <v>海沧中心璞盛项目（二期）</v>
          </cell>
        </row>
        <row r="402">
          <cell r="G402" t="str">
            <v>住宅-精装普宅</v>
          </cell>
          <cell r="H402" t="str">
            <v>面积（㎡）</v>
          </cell>
        </row>
        <row r="402">
          <cell r="N402">
            <v>1194.39</v>
          </cell>
        </row>
        <row r="402">
          <cell r="V402">
            <v>20168.15</v>
          </cell>
          <cell r="W402">
            <v>2534.1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</row>
        <row r="403">
          <cell r="B403" t="str">
            <v>海沧中心璞盛项目（二期）</v>
          </cell>
        </row>
        <row r="403">
          <cell r="G403" t="str">
            <v>住宅-毛坯普宅</v>
          </cell>
          <cell r="H403" t="str">
            <v>面积（㎡）</v>
          </cell>
        </row>
        <row r="403"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</row>
        <row r="404">
          <cell r="B404" t="str">
            <v>海沧中心璞盛项目（二期）</v>
          </cell>
        </row>
        <row r="404">
          <cell r="G404" t="str">
            <v>住宅-精装非普宅</v>
          </cell>
          <cell r="H404" t="str">
            <v>面积（㎡）</v>
          </cell>
        </row>
        <row r="404"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</row>
        <row r="405">
          <cell r="B405" t="str">
            <v>海沧中心璞盛项目（二期）</v>
          </cell>
        </row>
        <row r="405">
          <cell r="G405" t="str">
            <v>住宅-毛坯非普宅</v>
          </cell>
          <cell r="H405" t="str">
            <v>面积（㎡）</v>
          </cell>
        </row>
        <row r="405"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</row>
        <row r="406">
          <cell r="B406" t="str">
            <v>海沧中心璞盛项目（二期）</v>
          </cell>
        </row>
        <row r="406">
          <cell r="G406" t="str">
            <v>住宅-毛坯非普宅</v>
          </cell>
          <cell r="H406" t="str">
            <v>面积（㎡）</v>
          </cell>
        </row>
        <row r="406"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</row>
        <row r="407">
          <cell r="B407" t="str">
            <v>海沧中心璞盛项目（二期）</v>
          </cell>
        </row>
        <row r="407">
          <cell r="G407" t="str">
            <v>办公楼</v>
          </cell>
          <cell r="H407" t="str">
            <v>面积（㎡）</v>
          </cell>
        </row>
        <row r="407"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</row>
        <row r="408">
          <cell r="B408" t="str">
            <v>海沧中心璞盛项目（二期）</v>
          </cell>
        </row>
        <row r="408">
          <cell r="G408" t="str">
            <v>商业</v>
          </cell>
          <cell r="H408" t="str">
            <v>面积（㎡）</v>
          </cell>
        </row>
        <row r="408"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273.26</v>
          </cell>
          <cell r="AB408">
            <v>0</v>
          </cell>
        </row>
        <row r="409">
          <cell r="B409" t="str">
            <v>海沧中心璞盛项目（二期）</v>
          </cell>
        </row>
        <row r="409">
          <cell r="G409" t="str">
            <v>车位</v>
          </cell>
          <cell r="H409" t="str">
            <v>面积（㎡）</v>
          </cell>
        </row>
        <row r="409">
          <cell r="V409">
            <v>899.64</v>
          </cell>
          <cell r="W409">
            <v>0</v>
          </cell>
          <cell r="X409">
            <v>2044.1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</row>
        <row r="410">
          <cell r="B410" t="str">
            <v>海沧中心璞盛项目（二期）</v>
          </cell>
        </row>
        <row r="410">
          <cell r="G410" t="str">
            <v>住宅-精装普宅</v>
          </cell>
          <cell r="H410" t="str">
            <v>签约(元）</v>
          </cell>
        </row>
        <row r="410">
          <cell r="N410">
            <v>42615663</v>
          </cell>
        </row>
        <row r="410">
          <cell r="V410">
            <v>693163754</v>
          </cell>
          <cell r="W410">
            <v>83848488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</row>
        <row r="411">
          <cell r="B411" t="str">
            <v>海沧中心璞盛项目（二期）</v>
          </cell>
        </row>
        <row r="411">
          <cell r="G411" t="str">
            <v>住宅-毛坯普宅</v>
          </cell>
          <cell r="H411" t="str">
            <v>签约(元）</v>
          </cell>
        </row>
        <row r="411"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</row>
        <row r="412">
          <cell r="B412" t="str">
            <v>海沧中心璞盛项目（二期）</v>
          </cell>
        </row>
        <row r="412">
          <cell r="G412" t="str">
            <v>住宅-精装非普宅</v>
          </cell>
          <cell r="H412" t="str">
            <v>签约(元）</v>
          </cell>
        </row>
        <row r="412"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</row>
        <row r="413">
          <cell r="B413" t="str">
            <v>海沧中心璞盛项目（二期）</v>
          </cell>
        </row>
        <row r="413">
          <cell r="G413" t="str">
            <v>住宅-毛坯非普宅</v>
          </cell>
          <cell r="H413" t="str">
            <v>签约(元）</v>
          </cell>
        </row>
        <row r="413"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</row>
        <row r="414">
          <cell r="B414" t="str">
            <v>海沧中心璞盛项目（二期）</v>
          </cell>
        </row>
        <row r="414">
          <cell r="G414" t="str">
            <v>住宅-毛坯非普宅</v>
          </cell>
          <cell r="H414" t="str">
            <v>签约(元）</v>
          </cell>
        </row>
        <row r="414"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</row>
        <row r="415">
          <cell r="B415" t="str">
            <v>海沧中心璞盛项目（二期）</v>
          </cell>
        </row>
        <row r="415">
          <cell r="G415" t="str">
            <v>办公楼</v>
          </cell>
          <cell r="H415" t="str">
            <v>签约(元）</v>
          </cell>
        </row>
        <row r="415"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</row>
        <row r="416">
          <cell r="B416" t="str">
            <v>海沧中心璞盛项目（二期）</v>
          </cell>
        </row>
        <row r="416">
          <cell r="G416" t="str">
            <v>商业</v>
          </cell>
          <cell r="H416" t="str">
            <v>签约(元）</v>
          </cell>
        </row>
        <row r="416"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8197800</v>
          </cell>
          <cell r="AB416">
            <v>0</v>
          </cell>
        </row>
        <row r="417">
          <cell r="B417" t="str">
            <v>海沧中心璞盛项目（二期）</v>
          </cell>
        </row>
        <row r="417">
          <cell r="G417" t="str">
            <v>车位</v>
          </cell>
          <cell r="H417" t="str">
            <v>签约(元）</v>
          </cell>
        </row>
        <row r="417">
          <cell r="V417">
            <v>6780000</v>
          </cell>
          <cell r="W417">
            <v>0</v>
          </cell>
          <cell r="X417">
            <v>11330000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</row>
        <row r="418">
          <cell r="B418" t="str">
            <v>海沧中心璞盛项目（二期）</v>
          </cell>
        </row>
        <row r="418">
          <cell r="G418" t="str">
            <v>住宅-精装普宅</v>
          </cell>
          <cell r="H418" t="str">
            <v>回款含税(元）</v>
          </cell>
        </row>
        <row r="418">
          <cell r="N418">
            <v>672887</v>
          </cell>
        </row>
        <row r="418">
          <cell r="V418">
            <v>718706600</v>
          </cell>
          <cell r="W418">
            <v>92781183.3008333</v>
          </cell>
          <cell r="X418">
            <v>7467234.69916669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</row>
        <row r="419">
          <cell r="B419" t="str">
            <v>海沧中心璞盛项目（二期）</v>
          </cell>
        </row>
        <row r="419">
          <cell r="G419" t="str">
            <v>住宅-毛坯普宅</v>
          </cell>
          <cell r="H419" t="str">
            <v>回款含税(元）</v>
          </cell>
        </row>
        <row r="419">
          <cell r="N419">
            <v>0</v>
          </cell>
        </row>
        <row r="419"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</row>
        <row r="420">
          <cell r="B420" t="str">
            <v>海沧中心璞盛项目（二期）</v>
          </cell>
        </row>
        <row r="420">
          <cell r="G420" t="str">
            <v>住宅-精装非普宅</v>
          </cell>
          <cell r="H420" t="str">
            <v>回款含税(元）</v>
          </cell>
        </row>
        <row r="420">
          <cell r="N420">
            <v>0</v>
          </cell>
        </row>
        <row r="420"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</row>
        <row r="421">
          <cell r="B421" t="str">
            <v>海沧中心璞盛项目（二期）</v>
          </cell>
        </row>
        <row r="421">
          <cell r="G421" t="str">
            <v>住宅-毛坯非普宅</v>
          </cell>
          <cell r="H421" t="str">
            <v>回款含税(元）</v>
          </cell>
        </row>
        <row r="421">
          <cell r="N421">
            <v>0</v>
          </cell>
        </row>
        <row r="421"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</row>
        <row r="422">
          <cell r="B422" t="str">
            <v>海沧中心璞盛项目（二期）</v>
          </cell>
        </row>
        <row r="422">
          <cell r="G422" t="str">
            <v>住宅-毛坯非普宅</v>
          </cell>
          <cell r="H422" t="str">
            <v>回款含税(元）</v>
          </cell>
        </row>
        <row r="422">
          <cell r="N422">
            <v>0</v>
          </cell>
        </row>
        <row r="422"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</row>
        <row r="423">
          <cell r="B423" t="str">
            <v>海沧中心璞盛项目（二期）</v>
          </cell>
        </row>
        <row r="423">
          <cell r="G423" t="str">
            <v>办公楼</v>
          </cell>
          <cell r="H423" t="str">
            <v>回款含税(元）</v>
          </cell>
        </row>
        <row r="423">
          <cell r="N423">
            <v>0</v>
          </cell>
        </row>
        <row r="423"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</row>
        <row r="424">
          <cell r="B424" t="str">
            <v>海沧中心璞盛项目（二期）</v>
          </cell>
        </row>
        <row r="424">
          <cell r="G424" t="str">
            <v>商业</v>
          </cell>
          <cell r="H424" t="str">
            <v>回款含税(元）</v>
          </cell>
        </row>
        <row r="424">
          <cell r="N424">
            <v>0</v>
          </cell>
        </row>
        <row r="424"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8197800</v>
          </cell>
          <cell r="AB424">
            <v>0</v>
          </cell>
        </row>
        <row r="425">
          <cell r="B425" t="str">
            <v>海沧中心璞盛项目（二期）</v>
          </cell>
        </row>
        <row r="425">
          <cell r="G425" t="str">
            <v>车位</v>
          </cell>
          <cell r="H425" t="str">
            <v>回款含税(元）</v>
          </cell>
        </row>
        <row r="425">
          <cell r="N425">
            <v>0</v>
          </cell>
        </row>
        <row r="425">
          <cell r="V425">
            <v>6840000</v>
          </cell>
          <cell r="W425">
            <v>-60000</v>
          </cell>
          <cell r="X425">
            <v>11330000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</row>
        <row r="426">
          <cell r="B426" t="str">
            <v>海沧中心璞盛项目（二期）</v>
          </cell>
        </row>
        <row r="426">
          <cell r="G426" t="str">
            <v>住宅-精装普宅</v>
          </cell>
          <cell r="H426" t="str">
            <v>回款含税(元）（非贷款类回款）</v>
          </cell>
        </row>
        <row r="426">
          <cell r="N426">
            <v>672887</v>
          </cell>
        </row>
        <row r="426">
          <cell r="V426">
            <v>393742600</v>
          </cell>
          <cell r="W426">
            <v>41924244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</row>
        <row r="427">
          <cell r="B427" t="str">
            <v>海沧中心璞盛项目（二期）</v>
          </cell>
        </row>
        <row r="427">
          <cell r="G427" t="str">
            <v>住宅-毛坯普宅</v>
          </cell>
          <cell r="H427" t="str">
            <v>回款含税(元）（非贷款类回款）</v>
          </cell>
        </row>
        <row r="427"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</row>
        <row r="428">
          <cell r="B428" t="str">
            <v>海沧中心璞盛项目（二期）</v>
          </cell>
        </row>
        <row r="428">
          <cell r="G428" t="str">
            <v>住宅-精装非普宅</v>
          </cell>
          <cell r="H428" t="str">
            <v>回款含税(元）（非贷款类回款）</v>
          </cell>
        </row>
        <row r="428"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</row>
        <row r="429">
          <cell r="B429" t="str">
            <v>海沧中心璞盛项目（二期）</v>
          </cell>
        </row>
        <row r="429">
          <cell r="G429" t="str">
            <v>住宅-毛坯非普宅</v>
          </cell>
          <cell r="H429" t="str">
            <v>回款含税(元）（非贷款类回款）</v>
          </cell>
        </row>
        <row r="429"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</row>
        <row r="430">
          <cell r="B430" t="str">
            <v>海沧中心璞盛项目（二期）</v>
          </cell>
        </row>
        <row r="430">
          <cell r="G430" t="str">
            <v>住宅-毛坯非普宅</v>
          </cell>
          <cell r="H430" t="str">
            <v>回款含税(元）（非贷款类回款）</v>
          </cell>
        </row>
        <row r="430"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</row>
        <row r="431">
          <cell r="B431" t="str">
            <v>海沧中心璞盛项目（二期）</v>
          </cell>
        </row>
        <row r="431">
          <cell r="G431" t="str">
            <v>办公楼</v>
          </cell>
          <cell r="H431" t="str">
            <v>回款含税(元）（非贷款类回款）</v>
          </cell>
        </row>
        <row r="431"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</row>
        <row r="432">
          <cell r="B432" t="str">
            <v>海沧中心璞盛项目（二期）</v>
          </cell>
        </row>
        <row r="432">
          <cell r="G432" t="str">
            <v>商业</v>
          </cell>
          <cell r="H432" t="str">
            <v>回款含税(元）（非贷款类回款）</v>
          </cell>
        </row>
        <row r="432"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4098900</v>
          </cell>
          <cell r="AB432">
            <v>0</v>
          </cell>
        </row>
        <row r="433">
          <cell r="B433" t="str">
            <v>海沧中心璞盛项目（二期）</v>
          </cell>
        </row>
        <row r="433">
          <cell r="G433" t="str">
            <v>车位</v>
          </cell>
          <cell r="H433" t="str">
            <v>回款含税(元）（非贷款类回款）</v>
          </cell>
        </row>
        <row r="433">
          <cell r="V433">
            <v>6470000</v>
          </cell>
          <cell r="W433">
            <v>0</v>
          </cell>
          <cell r="X433">
            <v>5665000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</row>
        <row r="434">
          <cell r="B434" t="str">
            <v>海沧中心璞盛项目（二期）</v>
          </cell>
        </row>
        <row r="434">
          <cell r="G434" t="str">
            <v>住宅-精装普宅</v>
          </cell>
          <cell r="H434" t="str">
            <v>回款含税(元）（贷款类回款）</v>
          </cell>
        </row>
        <row r="434">
          <cell r="V434">
            <v>324964000</v>
          </cell>
          <cell r="W434">
            <v>50856939.3008333</v>
          </cell>
          <cell r="X434">
            <v>7467234.69916669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</row>
        <row r="435">
          <cell r="B435" t="str">
            <v>海沧中心璞盛项目（二期）</v>
          </cell>
        </row>
        <row r="435">
          <cell r="G435" t="str">
            <v>住宅-毛坯普宅</v>
          </cell>
          <cell r="H435" t="str">
            <v>回款含税(元）（贷款类回款）</v>
          </cell>
        </row>
        <row r="435"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</row>
        <row r="436">
          <cell r="B436" t="str">
            <v>海沧中心璞盛项目（二期）</v>
          </cell>
        </row>
        <row r="436">
          <cell r="G436" t="str">
            <v>住宅-精装非普宅</v>
          </cell>
          <cell r="H436" t="str">
            <v>回款含税(元）（贷款类回款）</v>
          </cell>
        </row>
        <row r="436"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</row>
        <row r="437">
          <cell r="B437" t="str">
            <v>海沧中心璞盛项目（二期）</v>
          </cell>
        </row>
        <row r="437">
          <cell r="G437" t="str">
            <v>住宅-毛坯非普宅</v>
          </cell>
          <cell r="H437" t="str">
            <v>回款含税(元）（贷款类回款）</v>
          </cell>
        </row>
        <row r="437"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</row>
        <row r="438">
          <cell r="B438" t="str">
            <v>海沧中心璞盛项目（二期）</v>
          </cell>
        </row>
        <row r="438">
          <cell r="G438" t="str">
            <v>住宅-毛坯非普宅</v>
          </cell>
          <cell r="H438" t="str">
            <v>回款含税(元）（贷款类回款）</v>
          </cell>
        </row>
        <row r="438"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</row>
        <row r="439">
          <cell r="B439" t="str">
            <v>海沧中心璞盛项目（二期）</v>
          </cell>
        </row>
        <row r="439">
          <cell r="G439" t="str">
            <v>办公楼</v>
          </cell>
          <cell r="H439" t="str">
            <v>回款含税(元）（贷款类回款）</v>
          </cell>
        </row>
        <row r="439"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</row>
        <row r="440">
          <cell r="B440" t="str">
            <v>海沧中心璞盛项目（二期）</v>
          </cell>
        </row>
        <row r="440">
          <cell r="G440" t="str">
            <v>商业</v>
          </cell>
          <cell r="H440" t="str">
            <v>回款含税(元）（贷款类回款）</v>
          </cell>
        </row>
        <row r="440"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4098900</v>
          </cell>
          <cell r="AB440">
            <v>0</v>
          </cell>
        </row>
        <row r="441">
          <cell r="B441" t="str">
            <v>海沧中心璞盛项目（二期）</v>
          </cell>
        </row>
        <row r="441">
          <cell r="G441" t="str">
            <v>车位</v>
          </cell>
          <cell r="H441" t="str">
            <v>回款含税(元）（贷款类回款）</v>
          </cell>
        </row>
        <row r="441">
          <cell r="V441">
            <v>370000</v>
          </cell>
          <cell r="W441">
            <v>-60000</v>
          </cell>
          <cell r="X441">
            <v>5665000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</row>
        <row r="442">
          <cell r="B442" t="str">
            <v>海沧中心璞盛2期</v>
          </cell>
        </row>
        <row r="442">
          <cell r="G442" t="str">
            <v>住宅-精装普宅</v>
          </cell>
          <cell r="H442" t="str">
            <v>套数（套）</v>
          </cell>
        </row>
        <row r="442">
          <cell r="V442">
            <v>309</v>
          </cell>
          <cell r="W442">
            <v>527</v>
          </cell>
          <cell r="X442">
            <v>84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</row>
        <row r="443">
          <cell r="B443" t="str">
            <v>海沧中心璞盛2期</v>
          </cell>
        </row>
        <row r="443">
          <cell r="G443" t="str">
            <v>住宅-毛坯普宅</v>
          </cell>
          <cell r="H443" t="str">
            <v>套数（套）</v>
          </cell>
        </row>
        <row r="443"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</row>
        <row r="444">
          <cell r="B444" t="str">
            <v>海沧中心璞盛2期</v>
          </cell>
        </row>
        <row r="444">
          <cell r="G444" t="str">
            <v>住宅-精装非普宅</v>
          </cell>
          <cell r="H444" t="str">
            <v>套数（套）</v>
          </cell>
        </row>
        <row r="444">
          <cell r="V444">
            <v>0</v>
          </cell>
          <cell r="W444">
            <v>55</v>
          </cell>
          <cell r="X444">
            <v>27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</row>
        <row r="445">
          <cell r="B445" t="str">
            <v>海沧中心璞盛2期</v>
          </cell>
        </row>
        <row r="445">
          <cell r="G445" t="str">
            <v>住宅-毛坯非普宅</v>
          </cell>
          <cell r="H445" t="str">
            <v>套数（套）</v>
          </cell>
        </row>
        <row r="445"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</row>
        <row r="446">
          <cell r="B446" t="str">
            <v>海沧中心璞盛2期</v>
          </cell>
        </row>
        <row r="446">
          <cell r="G446" t="str">
            <v>住宅-毛坯非普宅</v>
          </cell>
          <cell r="H446" t="str">
            <v>套数（套）</v>
          </cell>
        </row>
        <row r="446"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</row>
        <row r="447">
          <cell r="B447" t="str">
            <v>海沧中心璞盛2期</v>
          </cell>
        </row>
        <row r="447">
          <cell r="G447" t="str">
            <v>办公楼</v>
          </cell>
          <cell r="H447" t="str">
            <v>套数（套）</v>
          </cell>
        </row>
        <row r="447"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</row>
        <row r="448">
          <cell r="B448" t="str">
            <v>海沧中心璞盛2期</v>
          </cell>
        </row>
        <row r="448">
          <cell r="G448" t="str">
            <v>商业</v>
          </cell>
          <cell r="H448" t="str">
            <v>套数（套）</v>
          </cell>
        </row>
        <row r="448"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26</v>
          </cell>
        </row>
        <row r="449">
          <cell r="B449" t="str">
            <v>海沧中心璞盛2期</v>
          </cell>
        </row>
        <row r="449">
          <cell r="G449" t="str">
            <v>车位</v>
          </cell>
          <cell r="H449" t="str">
            <v>套数（套）</v>
          </cell>
        </row>
        <row r="449">
          <cell r="V449">
            <v>0</v>
          </cell>
          <cell r="W449">
            <v>215</v>
          </cell>
          <cell r="X449">
            <v>150</v>
          </cell>
          <cell r="Y449">
            <v>389</v>
          </cell>
          <cell r="Z449">
            <v>0</v>
          </cell>
          <cell r="AA449">
            <v>0</v>
          </cell>
          <cell r="AB449">
            <v>0</v>
          </cell>
        </row>
        <row r="450">
          <cell r="B450" t="str">
            <v>海沧中心璞盛2期</v>
          </cell>
        </row>
        <row r="450">
          <cell r="G450" t="str">
            <v>住宅-精装普宅</v>
          </cell>
          <cell r="H450" t="str">
            <v>面积（㎡）</v>
          </cell>
        </row>
        <row r="450">
          <cell r="V450">
            <v>26493.22</v>
          </cell>
          <cell r="W450">
            <v>49221.8</v>
          </cell>
          <cell r="X450">
            <v>7866.60999999999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</row>
        <row r="451">
          <cell r="B451" t="str">
            <v>海沧中心璞盛2期</v>
          </cell>
        </row>
        <row r="451">
          <cell r="G451" t="str">
            <v>住宅-毛坯普宅</v>
          </cell>
          <cell r="H451" t="str">
            <v>面积（㎡）</v>
          </cell>
        </row>
        <row r="451"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</row>
        <row r="452">
          <cell r="B452" t="str">
            <v>海沧中心璞盛2期</v>
          </cell>
        </row>
        <row r="452">
          <cell r="G452" t="str">
            <v>住宅-精装非普宅</v>
          </cell>
          <cell r="H452" t="str">
            <v>面积（㎡）</v>
          </cell>
        </row>
        <row r="452">
          <cell r="V452">
            <v>0</v>
          </cell>
          <cell r="W452">
            <v>8069.47926829269</v>
          </cell>
          <cell r="X452">
            <v>3961.38073170731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</row>
        <row r="453">
          <cell r="B453" t="str">
            <v>海沧中心璞盛2期</v>
          </cell>
        </row>
        <row r="453">
          <cell r="G453" t="str">
            <v>住宅-毛坯非普宅</v>
          </cell>
          <cell r="H453" t="str">
            <v>面积（㎡）</v>
          </cell>
        </row>
        <row r="453"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</row>
        <row r="454">
          <cell r="B454" t="str">
            <v>海沧中心璞盛2期</v>
          </cell>
        </row>
        <row r="454">
          <cell r="G454" t="str">
            <v>住宅-毛坯非普宅</v>
          </cell>
          <cell r="H454" t="str">
            <v>面积（㎡）</v>
          </cell>
        </row>
        <row r="454"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</row>
        <row r="455">
          <cell r="B455" t="str">
            <v>海沧中心璞盛2期</v>
          </cell>
        </row>
        <row r="455">
          <cell r="G455" t="str">
            <v>办公楼</v>
          </cell>
          <cell r="H455" t="str">
            <v>面积（㎡）</v>
          </cell>
        </row>
        <row r="455"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</row>
        <row r="456">
          <cell r="B456" t="str">
            <v>海沧中心璞盛2期</v>
          </cell>
        </row>
        <row r="456">
          <cell r="G456" t="str">
            <v>商业</v>
          </cell>
          <cell r="H456" t="str">
            <v>面积（㎡）</v>
          </cell>
        </row>
        <row r="456"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1620.03</v>
          </cell>
        </row>
        <row r="457">
          <cell r="B457" t="str">
            <v>海沧中心璞盛2期</v>
          </cell>
        </row>
        <row r="457">
          <cell r="G457" t="str">
            <v>车位</v>
          </cell>
          <cell r="H457" t="str">
            <v>面积（㎡）</v>
          </cell>
        </row>
        <row r="457">
          <cell r="V457">
            <v>0</v>
          </cell>
          <cell r="W457">
            <v>7571.46404066074</v>
          </cell>
          <cell r="X457">
            <v>5282.41677255401</v>
          </cell>
          <cell r="Y457">
            <v>11588.9691867853</v>
          </cell>
          <cell r="Z457">
            <v>0</v>
          </cell>
          <cell r="AA457">
            <v>0</v>
          </cell>
          <cell r="AB457">
            <v>0</v>
          </cell>
        </row>
        <row r="458">
          <cell r="B458" t="str">
            <v>海沧中心璞盛2期</v>
          </cell>
        </row>
        <row r="458">
          <cell r="G458" t="str">
            <v>住宅-精装普宅</v>
          </cell>
          <cell r="H458" t="str">
            <v>签约(元）</v>
          </cell>
        </row>
        <row r="458">
          <cell r="V458">
            <v>810580028</v>
          </cell>
          <cell r="W458">
            <v>1394410000</v>
          </cell>
          <cell r="X458">
            <v>299484457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</row>
        <row r="459">
          <cell r="B459" t="str">
            <v>海沧中心璞盛2期</v>
          </cell>
        </row>
        <row r="459">
          <cell r="G459" t="str">
            <v>住宅-毛坯普宅</v>
          </cell>
          <cell r="H459" t="str">
            <v>签约(元）</v>
          </cell>
        </row>
        <row r="459"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</row>
        <row r="460">
          <cell r="B460" t="str">
            <v>海沧中心璞盛2期</v>
          </cell>
        </row>
        <row r="460">
          <cell r="G460" t="str">
            <v>住宅-精装非普宅</v>
          </cell>
          <cell r="H460" t="str">
            <v>签约(元）</v>
          </cell>
        </row>
        <row r="460">
          <cell r="V460">
            <v>0</v>
          </cell>
          <cell r="W460">
            <v>273900000</v>
          </cell>
          <cell r="X460">
            <v>147460851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</row>
        <row r="461">
          <cell r="B461" t="str">
            <v>海沧中心璞盛2期</v>
          </cell>
        </row>
        <row r="461">
          <cell r="G461" t="str">
            <v>住宅-毛坯非普宅</v>
          </cell>
          <cell r="H461" t="str">
            <v>签约(元）</v>
          </cell>
        </row>
        <row r="461"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</row>
        <row r="462">
          <cell r="B462" t="str">
            <v>海沧中心璞盛2期</v>
          </cell>
        </row>
        <row r="462">
          <cell r="G462" t="str">
            <v>住宅-毛坯非普宅</v>
          </cell>
          <cell r="H462" t="str">
            <v>签约(元）</v>
          </cell>
        </row>
        <row r="462"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</row>
        <row r="463">
          <cell r="B463" t="str">
            <v>海沧中心璞盛2期</v>
          </cell>
        </row>
        <row r="463">
          <cell r="G463" t="str">
            <v>办公楼</v>
          </cell>
          <cell r="H463" t="str">
            <v>签约(元）</v>
          </cell>
        </row>
        <row r="463"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</row>
        <row r="464">
          <cell r="B464" t="str">
            <v>海沧中心璞盛2期</v>
          </cell>
        </row>
        <row r="464">
          <cell r="G464" t="str">
            <v>商业</v>
          </cell>
          <cell r="H464" t="str">
            <v>签约(元）</v>
          </cell>
        </row>
        <row r="464"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56701050</v>
          </cell>
        </row>
        <row r="465">
          <cell r="B465" t="str">
            <v>海沧中心璞盛2期</v>
          </cell>
        </row>
        <row r="465">
          <cell r="G465" t="str">
            <v>车位</v>
          </cell>
          <cell r="H465" t="str">
            <v>签约(元）</v>
          </cell>
        </row>
        <row r="465">
          <cell r="V465">
            <v>0</v>
          </cell>
          <cell r="W465">
            <v>27950000</v>
          </cell>
          <cell r="X465">
            <v>19500000</v>
          </cell>
          <cell r="Y465">
            <v>68620000</v>
          </cell>
          <cell r="Z465">
            <v>0</v>
          </cell>
          <cell r="AA465">
            <v>0</v>
          </cell>
          <cell r="AB465">
            <v>0</v>
          </cell>
        </row>
        <row r="466">
          <cell r="B466" t="str">
            <v>海沧中心璞盛2期</v>
          </cell>
        </row>
        <row r="466">
          <cell r="G466" t="str">
            <v>住宅-精装普宅</v>
          </cell>
          <cell r="H466" t="str">
            <v>回款含税(元）</v>
          </cell>
        </row>
        <row r="466">
          <cell r="N466">
            <v>0</v>
          </cell>
        </row>
        <row r="466">
          <cell r="V466">
            <v>391262500</v>
          </cell>
          <cell r="W466">
            <v>1703593153</v>
          </cell>
          <cell r="X466">
            <v>339376603.5</v>
          </cell>
          <cell r="Y466">
            <v>70242228.5</v>
          </cell>
          <cell r="Z466">
            <v>0</v>
          </cell>
          <cell r="AA466">
            <v>0</v>
          </cell>
          <cell r="AB466">
            <v>0</v>
          </cell>
        </row>
        <row r="467">
          <cell r="B467" t="str">
            <v>海沧中心璞盛2期</v>
          </cell>
        </row>
        <row r="467">
          <cell r="G467" t="str">
            <v>住宅-毛坯普宅</v>
          </cell>
          <cell r="H467" t="str">
            <v>回款含税(元）</v>
          </cell>
        </row>
        <row r="467">
          <cell r="N467">
            <v>0</v>
          </cell>
        </row>
        <row r="467"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</row>
        <row r="468">
          <cell r="B468" t="str">
            <v>海沧中心璞盛2期</v>
          </cell>
        </row>
        <row r="468">
          <cell r="G468" t="str">
            <v>住宅-精装非普宅</v>
          </cell>
          <cell r="H468" t="str">
            <v>回款含税(元）</v>
          </cell>
        </row>
        <row r="468">
          <cell r="N468">
            <v>0</v>
          </cell>
        </row>
        <row r="468">
          <cell r="V468">
            <v>0</v>
          </cell>
          <cell r="W468">
            <v>247008000</v>
          </cell>
          <cell r="X468">
            <v>155402425.5</v>
          </cell>
          <cell r="Y468">
            <v>18950425.5</v>
          </cell>
          <cell r="Z468">
            <v>0</v>
          </cell>
          <cell r="AA468">
            <v>0</v>
          </cell>
          <cell r="AB468">
            <v>0</v>
          </cell>
        </row>
        <row r="469">
          <cell r="B469" t="str">
            <v>海沧中心璞盛2期</v>
          </cell>
        </row>
        <row r="469">
          <cell r="G469" t="str">
            <v>住宅-毛坯非普宅</v>
          </cell>
          <cell r="H469" t="str">
            <v>回款含税(元）</v>
          </cell>
        </row>
        <row r="469">
          <cell r="N469">
            <v>0</v>
          </cell>
        </row>
        <row r="469"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</row>
        <row r="470">
          <cell r="B470" t="str">
            <v>海沧中心璞盛2期</v>
          </cell>
        </row>
        <row r="470">
          <cell r="G470" t="str">
            <v>住宅-毛坯非普宅</v>
          </cell>
          <cell r="H470" t="str">
            <v>回款含税(元）</v>
          </cell>
        </row>
        <row r="470">
          <cell r="N470">
            <v>0</v>
          </cell>
        </row>
        <row r="470"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</row>
        <row r="471">
          <cell r="B471" t="str">
            <v>海沧中心璞盛2期</v>
          </cell>
        </row>
        <row r="471">
          <cell r="G471" t="str">
            <v>办公楼</v>
          </cell>
          <cell r="H471" t="str">
            <v>回款含税(元）</v>
          </cell>
        </row>
        <row r="471">
          <cell r="N471">
            <v>0</v>
          </cell>
        </row>
        <row r="471"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</row>
        <row r="472">
          <cell r="B472" t="str">
            <v>海沧中心璞盛2期</v>
          </cell>
        </row>
        <row r="472">
          <cell r="G472" t="str">
            <v>商业</v>
          </cell>
          <cell r="H472" t="str">
            <v>回款含税(元）</v>
          </cell>
        </row>
        <row r="472">
          <cell r="N472">
            <v>0</v>
          </cell>
        </row>
        <row r="472"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56701050</v>
          </cell>
        </row>
        <row r="473">
          <cell r="B473" t="str">
            <v>海沧中心璞盛2期</v>
          </cell>
        </row>
        <row r="473">
          <cell r="G473" t="str">
            <v>车位</v>
          </cell>
          <cell r="H473" t="str">
            <v>回款含税(元）</v>
          </cell>
        </row>
        <row r="473">
          <cell r="N473">
            <v>0</v>
          </cell>
        </row>
        <row r="473">
          <cell r="V473">
            <v>0</v>
          </cell>
          <cell r="W473">
            <v>23725000</v>
          </cell>
          <cell r="X473">
            <v>21125000</v>
          </cell>
          <cell r="Y473">
            <v>62642500</v>
          </cell>
          <cell r="Z473">
            <v>8577500</v>
          </cell>
          <cell r="AA473">
            <v>0</v>
          </cell>
          <cell r="AB473">
            <v>0</v>
          </cell>
        </row>
        <row r="474">
          <cell r="B474" t="str">
            <v>海沧中心璞盛2期</v>
          </cell>
        </row>
        <row r="474">
          <cell r="G474" t="str">
            <v>住宅-精装普宅</v>
          </cell>
          <cell r="H474" t="str">
            <v>回款含税(元）（非贷款类回款）</v>
          </cell>
        </row>
        <row r="474">
          <cell r="V474">
            <v>388312500</v>
          </cell>
          <cell r="W474">
            <v>697205000</v>
          </cell>
          <cell r="X474">
            <v>149742228.5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</row>
        <row r="475">
          <cell r="B475" t="str">
            <v>海沧中心璞盛2期</v>
          </cell>
        </row>
        <row r="475">
          <cell r="G475" t="str">
            <v>住宅-毛坯普宅</v>
          </cell>
          <cell r="H475" t="str">
            <v>回款含税(元）（非贷款类回款）</v>
          </cell>
        </row>
        <row r="475"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</row>
        <row r="476">
          <cell r="B476" t="str">
            <v>海沧中心璞盛2期</v>
          </cell>
        </row>
        <row r="476">
          <cell r="G476" t="str">
            <v>住宅-精装非普宅</v>
          </cell>
          <cell r="H476" t="str">
            <v>回款含税(元）（非贷款类回款）</v>
          </cell>
        </row>
        <row r="476">
          <cell r="V476">
            <v>0</v>
          </cell>
          <cell r="W476">
            <v>136950000</v>
          </cell>
          <cell r="X476">
            <v>73730425.5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</row>
        <row r="477">
          <cell r="B477" t="str">
            <v>海沧中心璞盛2期</v>
          </cell>
        </row>
        <row r="477">
          <cell r="G477" t="str">
            <v>住宅-毛坯非普宅</v>
          </cell>
          <cell r="H477" t="str">
            <v>回款含税(元）（非贷款类回款）</v>
          </cell>
        </row>
        <row r="477"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</row>
        <row r="478">
          <cell r="B478" t="str">
            <v>海沧中心璞盛2期</v>
          </cell>
        </row>
        <row r="478">
          <cell r="G478" t="str">
            <v>住宅-毛坯非普宅</v>
          </cell>
          <cell r="H478" t="str">
            <v>回款含税(元）（非贷款类回款）</v>
          </cell>
        </row>
        <row r="478"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</row>
        <row r="479">
          <cell r="B479" t="str">
            <v>海沧中心璞盛2期</v>
          </cell>
        </row>
        <row r="479">
          <cell r="G479" t="str">
            <v>办公楼</v>
          </cell>
          <cell r="H479" t="str">
            <v>回款含税(元）（非贷款类回款）</v>
          </cell>
        </row>
        <row r="479"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</row>
        <row r="480">
          <cell r="B480" t="str">
            <v>海沧中心璞盛2期</v>
          </cell>
        </row>
        <row r="480">
          <cell r="G480" t="str">
            <v>商业</v>
          </cell>
          <cell r="H480" t="str">
            <v>回款含税(元）（非贷款类回款）</v>
          </cell>
        </row>
        <row r="480"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28350525</v>
          </cell>
        </row>
        <row r="481">
          <cell r="B481" t="str">
            <v>海沧中心璞盛2期</v>
          </cell>
        </row>
        <row r="481">
          <cell r="G481" t="str">
            <v>车位</v>
          </cell>
          <cell r="H481" t="str">
            <v>回款含税(元）（非贷款类回款）</v>
          </cell>
        </row>
        <row r="481">
          <cell r="V481">
            <v>0</v>
          </cell>
          <cell r="W481">
            <v>13975000</v>
          </cell>
          <cell r="X481">
            <v>9750000</v>
          </cell>
          <cell r="Y481">
            <v>34310000</v>
          </cell>
          <cell r="Z481">
            <v>0</v>
          </cell>
          <cell r="AA481">
            <v>0</v>
          </cell>
          <cell r="AB481">
            <v>0</v>
          </cell>
        </row>
        <row r="482">
          <cell r="B482" t="str">
            <v>海沧中心璞盛2期</v>
          </cell>
        </row>
        <row r="482">
          <cell r="G482" t="str">
            <v>住宅-精装普宅</v>
          </cell>
          <cell r="H482" t="str">
            <v>回款含税(元）（贷款类回款）</v>
          </cell>
        </row>
        <row r="482">
          <cell r="V482">
            <v>2950000</v>
          </cell>
          <cell r="W482">
            <v>1006388153</v>
          </cell>
          <cell r="X482">
            <v>189634375</v>
          </cell>
          <cell r="Y482">
            <v>70242228.5</v>
          </cell>
          <cell r="Z482">
            <v>0</v>
          </cell>
          <cell r="AA482">
            <v>0</v>
          </cell>
          <cell r="AB482">
            <v>0</v>
          </cell>
        </row>
        <row r="483">
          <cell r="B483" t="str">
            <v>海沧中心璞盛2期</v>
          </cell>
        </row>
        <row r="483">
          <cell r="G483" t="str">
            <v>住宅-毛坯普宅</v>
          </cell>
          <cell r="H483" t="str">
            <v>回款含税(元）（贷款类回款）</v>
          </cell>
        </row>
        <row r="483"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</row>
        <row r="484">
          <cell r="B484" t="str">
            <v>海沧中心璞盛2期</v>
          </cell>
        </row>
        <row r="484">
          <cell r="G484" t="str">
            <v>住宅-精装非普宅</v>
          </cell>
          <cell r="H484" t="str">
            <v>回款含税(元）（贷款类回款）</v>
          </cell>
        </row>
        <row r="484">
          <cell r="V484">
            <v>0</v>
          </cell>
          <cell r="W484">
            <v>110058000</v>
          </cell>
          <cell r="X484">
            <v>81672000</v>
          </cell>
          <cell r="Y484">
            <v>18950425.5</v>
          </cell>
          <cell r="Z484">
            <v>0</v>
          </cell>
          <cell r="AA484">
            <v>0</v>
          </cell>
          <cell r="AB484">
            <v>0</v>
          </cell>
        </row>
        <row r="485">
          <cell r="B485" t="str">
            <v>海沧中心璞盛2期</v>
          </cell>
        </row>
        <row r="485">
          <cell r="G485" t="str">
            <v>住宅-毛坯非普宅</v>
          </cell>
          <cell r="H485" t="str">
            <v>回款含税(元）（贷款类回款）</v>
          </cell>
        </row>
        <row r="485"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</row>
        <row r="486">
          <cell r="B486" t="str">
            <v>海沧中心璞盛2期</v>
          </cell>
        </row>
        <row r="486">
          <cell r="G486" t="str">
            <v>住宅-毛坯非普宅</v>
          </cell>
          <cell r="H486" t="str">
            <v>回款含税(元）（贷款类回款）</v>
          </cell>
        </row>
        <row r="486"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</row>
        <row r="487">
          <cell r="B487" t="str">
            <v>海沧中心璞盛2期</v>
          </cell>
        </row>
        <row r="487">
          <cell r="G487" t="str">
            <v>办公楼</v>
          </cell>
          <cell r="H487" t="str">
            <v>回款含税(元）（贷款类回款）</v>
          </cell>
        </row>
        <row r="487"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</row>
        <row r="488">
          <cell r="B488" t="str">
            <v>海沧中心璞盛2期</v>
          </cell>
        </row>
        <row r="488">
          <cell r="G488" t="str">
            <v>商业</v>
          </cell>
          <cell r="H488" t="str">
            <v>回款含税(元）（贷款类回款）</v>
          </cell>
        </row>
        <row r="488"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28350525</v>
          </cell>
        </row>
        <row r="489">
          <cell r="B489" t="str">
            <v>海沧中心璞盛2期</v>
          </cell>
        </row>
        <row r="489">
          <cell r="G489" t="str">
            <v>车位</v>
          </cell>
          <cell r="H489" t="str">
            <v>回款含税(元）（贷款类回款）</v>
          </cell>
        </row>
        <row r="489">
          <cell r="V489">
            <v>0</v>
          </cell>
          <cell r="W489">
            <v>9750000</v>
          </cell>
          <cell r="X489">
            <v>11375000</v>
          </cell>
          <cell r="Y489">
            <v>28332500</v>
          </cell>
          <cell r="Z489">
            <v>8577500</v>
          </cell>
          <cell r="AA489">
            <v>0</v>
          </cell>
          <cell r="AB489">
            <v>0</v>
          </cell>
        </row>
        <row r="490">
          <cell r="B490" t="str">
            <v>海沧中心新地块</v>
          </cell>
        </row>
        <row r="490">
          <cell r="G490" t="str">
            <v>住宅-精装普宅</v>
          </cell>
          <cell r="H490" t="str">
            <v>套数（套）</v>
          </cell>
        </row>
        <row r="490">
          <cell r="N490">
            <v>0</v>
          </cell>
        </row>
        <row r="490">
          <cell r="V490">
            <v>0</v>
          </cell>
          <cell r="W490">
            <v>132</v>
          </cell>
          <cell r="X490">
            <v>485</v>
          </cell>
          <cell r="Y490">
            <v>344</v>
          </cell>
          <cell r="Z490">
            <v>0</v>
          </cell>
          <cell r="AA490">
            <v>0</v>
          </cell>
          <cell r="AB490">
            <v>0</v>
          </cell>
        </row>
        <row r="491">
          <cell r="B491" t="str">
            <v>海沧中心新地块</v>
          </cell>
        </row>
        <row r="491">
          <cell r="G491" t="str">
            <v>住宅-毛坯普宅</v>
          </cell>
          <cell r="H491" t="str">
            <v>套数（套）</v>
          </cell>
        </row>
        <row r="491">
          <cell r="N491">
            <v>0</v>
          </cell>
        </row>
        <row r="491"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</row>
        <row r="492">
          <cell r="B492" t="str">
            <v>海沧中心新地块</v>
          </cell>
        </row>
        <row r="492">
          <cell r="G492" t="str">
            <v>住宅-精装非普宅</v>
          </cell>
          <cell r="H492" t="str">
            <v>套数（套）</v>
          </cell>
        </row>
        <row r="492">
          <cell r="N492">
            <v>0</v>
          </cell>
        </row>
        <row r="492"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</row>
        <row r="493">
          <cell r="B493" t="str">
            <v>海沧中心新地块</v>
          </cell>
        </row>
        <row r="493">
          <cell r="G493" t="str">
            <v>住宅-毛坯非普宅</v>
          </cell>
          <cell r="H493" t="str">
            <v>套数（套）</v>
          </cell>
        </row>
        <row r="493">
          <cell r="N493">
            <v>0</v>
          </cell>
        </row>
        <row r="493"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</row>
        <row r="494">
          <cell r="B494" t="str">
            <v>海沧中心新地块</v>
          </cell>
        </row>
        <row r="494">
          <cell r="G494" t="str">
            <v>住宅-毛坯非普宅</v>
          </cell>
          <cell r="H494" t="str">
            <v>套数（套）</v>
          </cell>
        </row>
        <row r="494">
          <cell r="N494">
            <v>0</v>
          </cell>
        </row>
        <row r="494"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</row>
        <row r="495">
          <cell r="B495" t="str">
            <v>海沧中心新地块</v>
          </cell>
        </row>
        <row r="495">
          <cell r="G495" t="str">
            <v>办公楼</v>
          </cell>
          <cell r="H495" t="str">
            <v>套数（套）</v>
          </cell>
        </row>
        <row r="495">
          <cell r="N495">
            <v>0</v>
          </cell>
        </row>
        <row r="495"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</row>
        <row r="496">
          <cell r="B496" t="str">
            <v>海沧中心新地块</v>
          </cell>
        </row>
        <row r="496">
          <cell r="G496" t="str">
            <v>商业</v>
          </cell>
          <cell r="H496" t="str">
            <v>套数（套）</v>
          </cell>
        </row>
        <row r="496">
          <cell r="N496">
            <v>0</v>
          </cell>
        </row>
        <row r="496"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</row>
        <row r="497">
          <cell r="B497" t="str">
            <v>海沧中心新地块</v>
          </cell>
        </row>
        <row r="497">
          <cell r="G497" t="str">
            <v>车位</v>
          </cell>
          <cell r="H497" t="str">
            <v>套数（套）</v>
          </cell>
        </row>
        <row r="497">
          <cell r="N497">
            <v>0</v>
          </cell>
        </row>
        <row r="497">
          <cell r="V497">
            <v>0</v>
          </cell>
          <cell r="W497">
            <v>90</v>
          </cell>
          <cell r="X497">
            <v>359</v>
          </cell>
          <cell r="Y497">
            <v>332</v>
          </cell>
          <cell r="Z497">
            <v>0</v>
          </cell>
          <cell r="AA497">
            <v>0</v>
          </cell>
          <cell r="AB497">
            <v>0</v>
          </cell>
        </row>
        <row r="498">
          <cell r="B498" t="str">
            <v>海沧中心新地块</v>
          </cell>
        </row>
        <row r="498">
          <cell r="G498" t="str">
            <v>住宅-精装普宅</v>
          </cell>
          <cell r="H498" t="str">
            <v>面积（㎡）</v>
          </cell>
        </row>
        <row r="498">
          <cell r="N498">
            <v>0</v>
          </cell>
        </row>
        <row r="498">
          <cell r="V498">
            <v>0</v>
          </cell>
          <cell r="W498">
            <v>14859.24</v>
          </cell>
          <cell r="X498">
            <v>45996.3</v>
          </cell>
          <cell r="Y498">
            <v>32339.6100017587</v>
          </cell>
          <cell r="Z498">
            <v>0</v>
          </cell>
          <cell r="AA498">
            <v>0</v>
          </cell>
          <cell r="AB498">
            <v>0</v>
          </cell>
        </row>
        <row r="499">
          <cell r="B499" t="str">
            <v>海沧中心新地块</v>
          </cell>
        </row>
        <row r="499">
          <cell r="G499" t="str">
            <v>住宅-毛坯普宅</v>
          </cell>
          <cell r="H499" t="str">
            <v>面积（㎡）</v>
          </cell>
        </row>
        <row r="499">
          <cell r="N499">
            <v>0</v>
          </cell>
        </row>
        <row r="499"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</row>
        <row r="500">
          <cell r="B500" t="str">
            <v>海沧中心新地块</v>
          </cell>
        </row>
        <row r="500">
          <cell r="G500" t="str">
            <v>住宅-精装非普宅</v>
          </cell>
          <cell r="H500" t="str">
            <v>面积（㎡）</v>
          </cell>
        </row>
        <row r="500">
          <cell r="N500">
            <v>0</v>
          </cell>
        </row>
        <row r="500"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</row>
        <row r="501">
          <cell r="B501" t="str">
            <v>海沧中心新地块</v>
          </cell>
        </row>
        <row r="501">
          <cell r="G501" t="str">
            <v>住宅-毛坯非普宅</v>
          </cell>
          <cell r="H501" t="str">
            <v>面积（㎡）</v>
          </cell>
        </row>
        <row r="501">
          <cell r="N501">
            <v>0</v>
          </cell>
        </row>
        <row r="501"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</row>
        <row r="502">
          <cell r="B502" t="str">
            <v>海沧中心新地块</v>
          </cell>
        </row>
        <row r="502">
          <cell r="G502" t="str">
            <v>住宅-毛坯非普宅</v>
          </cell>
          <cell r="H502" t="str">
            <v>面积（㎡）</v>
          </cell>
        </row>
        <row r="502">
          <cell r="N502">
            <v>0</v>
          </cell>
        </row>
        <row r="502"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</row>
        <row r="503">
          <cell r="B503" t="str">
            <v>海沧中心新地块</v>
          </cell>
        </row>
        <row r="503">
          <cell r="G503" t="str">
            <v>办公楼</v>
          </cell>
          <cell r="H503" t="str">
            <v>面积（㎡）</v>
          </cell>
        </row>
        <row r="503">
          <cell r="N503">
            <v>0</v>
          </cell>
        </row>
        <row r="503"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</row>
        <row r="504">
          <cell r="B504" t="str">
            <v>海沧中心新地块</v>
          </cell>
        </row>
        <row r="504">
          <cell r="G504" t="str">
            <v>商业</v>
          </cell>
          <cell r="H504" t="str">
            <v>面积（㎡）</v>
          </cell>
        </row>
        <row r="504">
          <cell r="N504">
            <v>0</v>
          </cell>
        </row>
        <row r="504"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</row>
        <row r="505">
          <cell r="B505" t="str">
            <v>海沧中心新地块</v>
          </cell>
        </row>
        <row r="505">
          <cell r="G505" t="str">
            <v>车位</v>
          </cell>
          <cell r="H505" t="str">
            <v>面积（㎡）</v>
          </cell>
        </row>
        <row r="505">
          <cell r="N505">
            <v>0</v>
          </cell>
        </row>
        <row r="505">
          <cell r="V505">
            <v>0</v>
          </cell>
          <cell r="W505">
            <v>3690</v>
          </cell>
          <cell r="X505">
            <v>13214</v>
          </cell>
          <cell r="Y505">
            <v>12247</v>
          </cell>
          <cell r="Z505">
            <v>0</v>
          </cell>
          <cell r="AA505">
            <v>0</v>
          </cell>
          <cell r="AB505">
            <v>0</v>
          </cell>
        </row>
        <row r="506">
          <cell r="B506" t="str">
            <v>海沧中心新地块</v>
          </cell>
        </row>
        <row r="506">
          <cell r="G506" t="str">
            <v>住宅-精装普宅</v>
          </cell>
          <cell r="H506" t="str">
            <v>签约(元）</v>
          </cell>
        </row>
        <row r="506">
          <cell r="N506">
            <v>0</v>
          </cell>
        </row>
        <row r="506">
          <cell r="V506">
            <v>0</v>
          </cell>
          <cell r="W506">
            <v>475200000</v>
          </cell>
          <cell r="X506">
            <v>1475625000</v>
          </cell>
          <cell r="Y506">
            <v>1034305222.95265</v>
          </cell>
          <cell r="Z506">
            <v>0</v>
          </cell>
          <cell r="AA506">
            <v>0</v>
          </cell>
          <cell r="AB506">
            <v>0</v>
          </cell>
        </row>
        <row r="507">
          <cell r="B507" t="str">
            <v>海沧中心新地块</v>
          </cell>
        </row>
        <row r="507">
          <cell r="G507" t="str">
            <v>住宅-毛坯普宅</v>
          </cell>
          <cell r="H507" t="str">
            <v>签约(元）</v>
          </cell>
        </row>
        <row r="507">
          <cell r="N507">
            <v>0</v>
          </cell>
        </row>
        <row r="507"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</row>
        <row r="508">
          <cell r="B508" t="str">
            <v>海沧中心新地块</v>
          </cell>
        </row>
        <row r="508">
          <cell r="G508" t="str">
            <v>住宅-精装非普宅</v>
          </cell>
          <cell r="H508" t="str">
            <v>签约(元）</v>
          </cell>
        </row>
        <row r="508">
          <cell r="N508">
            <v>0</v>
          </cell>
        </row>
        <row r="508"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</row>
        <row r="509">
          <cell r="B509" t="str">
            <v>海沧中心新地块</v>
          </cell>
        </row>
        <row r="509">
          <cell r="G509" t="str">
            <v>住宅-毛坯非普宅</v>
          </cell>
          <cell r="H509" t="str">
            <v>签约(元）</v>
          </cell>
        </row>
        <row r="509">
          <cell r="N509">
            <v>0</v>
          </cell>
        </row>
        <row r="509"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</row>
        <row r="510">
          <cell r="B510" t="str">
            <v>海沧中心新地块</v>
          </cell>
        </row>
        <row r="510">
          <cell r="G510" t="str">
            <v>住宅-毛坯非普宅</v>
          </cell>
          <cell r="H510" t="str">
            <v>签约(元）</v>
          </cell>
        </row>
        <row r="510">
          <cell r="N510">
            <v>0</v>
          </cell>
        </row>
        <row r="510"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</row>
        <row r="511">
          <cell r="B511" t="str">
            <v>海沧中心新地块</v>
          </cell>
        </row>
        <row r="511">
          <cell r="G511" t="str">
            <v>办公楼</v>
          </cell>
          <cell r="H511" t="str">
            <v>签约(元）</v>
          </cell>
        </row>
        <row r="511">
          <cell r="N511">
            <v>0</v>
          </cell>
        </row>
        <row r="511"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</row>
        <row r="512">
          <cell r="B512" t="str">
            <v>海沧中心新地块</v>
          </cell>
        </row>
        <row r="512">
          <cell r="G512" t="str">
            <v>商业</v>
          </cell>
          <cell r="H512" t="str">
            <v>签约(元）</v>
          </cell>
        </row>
        <row r="512">
          <cell r="N512">
            <v>0</v>
          </cell>
        </row>
        <row r="512"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</row>
        <row r="513">
          <cell r="B513" t="str">
            <v>海沧中心新地块</v>
          </cell>
        </row>
        <row r="513">
          <cell r="G513" t="str">
            <v>车位</v>
          </cell>
          <cell r="H513" t="str">
            <v>签约(元）</v>
          </cell>
        </row>
        <row r="513">
          <cell r="N513">
            <v>0</v>
          </cell>
        </row>
        <row r="513">
          <cell r="V513">
            <v>0</v>
          </cell>
          <cell r="W513">
            <v>10800000</v>
          </cell>
          <cell r="X513">
            <v>43080000</v>
          </cell>
          <cell r="Y513">
            <v>39840000</v>
          </cell>
          <cell r="Z513">
            <v>0</v>
          </cell>
          <cell r="AA513">
            <v>0</v>
          </cell>
          <cell r="AB513">
            <v>0</v>
          </cell>
        </row>
        <row r="514">
          <cell r="B514" t="str">
            <v>海沧中心新地块</v>
          </cell>
        </row>
        <row r="514">
          <cell r="G514" t="str">
            <v>住宅-精装普宅</v>
          </cell>
          <cell r="H514" t="str">
            <v>回款含税(元）</v>
          </cell>
        </row>
        <row r="514">
          <cell r="N514">
            <v>0</v>
          </cell>
        </row>
        <row r="514">
          <cell r="V514">
            <v>0</v>
          </cell>
          <cell r="W514">
            <v>237600000</v>
          </cell>
          <cell r="X514">
            <v>1530412500</v>
          </cell>
          <cell r="Y514">
            <v>1065590111.47632</v>
          </cell>
          <cell r="Z514">
            <v>151527611.476324</v>
          </cell>
          <cell r="AA514">
            <v>0</v>
          </cell>
          <cell r="AB514">
            <v>0</v>
          </cell>
        </row>
        <row r="515">
          <cell r="B515" t="str">
            <v>海沧中心新地块</v>
          </cell>
        </row>
        <row r="515">
          <cell r="G515" t="str">
            <v>住宅-毛坯普宅</v>
          </cell>
          <cell r="H515" t="str">
            <v>回款含税(元）</v>
          </cell>
        </row>
        <row r="515">
          <cell r="N515">
            <v>0</v>
          </cell>
        </row>
        <row r="515"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</row>
        <row r="516">
          <cell r="B516" t="str">
            <v>海沧中心新地块</v>
          </cell>
        </row>
        <row r="516">
          <cell r="G516" t="str">
            <v>住宅-精装非普宅</v>
          </cell>
          <cell r="H516" t="str">
            <v>回款含税(元）</v>
          </cell>
        </row>
        <row r="516">
          <cell r="N516">
            <v>0</v>
          </cell>
        </row>
        <row r="516"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</row>
        <row r="517">
          <cell r="B517" t="str">
            <v>海沧中心新地块</v>
          </cell>
        </row>
        <row r="517">
          <cell r="G517" t="str">
            <v>住宅-毛坯非普宅</v>
          </cell>
          <cell r="H517" t="str">
            <v>回款含税(元）</v>
          </cell>
        </row>
        <row r="517">
          <cell r="N517">
            <v>0</v>
          </cell>
        </row>
        <row r="517"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</row>
        <row r="518">
          <cell r="B518" t="str">
            <v>海沧中心新地块</v>
          </cell>
        </row>
        <row r="518">
          <cell r="G518" t="str">
            <v>住宅-毛坯非普宅</v>
          </cell>
          <cell r="H518" t="str">
            <v>回款含税(元）</v>
          </cell>
        </row>
        <row r="518">
          <cell r="N518">
            <v>0</v>
          </cell>
        </row>
        <row r="518"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</row>
        <row r="519">
          <cell r="B519" t="str">
            <v>海沧中心新地块</v>
          </cell>
        </row>
        <row r="519">
          <cell r="G519" t="str">
            <v>办公楼</v>
          </cell>
          <cell r="H519" t="str">
            <v>回款含税(元）</v>
          </cell>
        </row>
        <row r="519">
          <cell r="N519">
            <v>0</v>
          </cell>
        </row>
        <row r="519"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</row>
        <row r="520">
          <cell r="B520" t="str">
            <v>海沧中心新地块</v>
          </cell>
        </row>
        <row r="520">
          <cell r="G520" t="str">
            <v>商业</v>
          </cell>
          <cell r="H520" t="str">
            <v>回款含税(元）</v>
          </cell>
        </row>
        <row r="520">
          <cell r="N520">
            <v>0</v>
          </cell>
        </row>
        <row r="520"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</row>
        <row r="521">
          <cell r="B521" t="str">
            <v>海沧中心新地块</v>
          </cell>
        </row>
        <row r="521">
          <cell r="G521" t="str">
            <v>车位</v>
          </cell>
          <cell r="H521" t="str">
            <v>回款含税(元）</v>
          </cell>
        </row>
        <row r="521">
          <cell r="N521">
            <v>0</v>
          </cell>
        </row>
        <row r="521">
          <cell r="V521">
            <v>0</v>
          </cell>
          <cell r="W521">
            <v>5400000</v>
          </cell>
          <cell r="X521">
            <v>43140000</v>
          </cell>
          <cell r="Y521">
            <v>35880000</v>
          </cell>
          <cell r="Z521">
            <v>9300000</v>
          </cell>
          <cell r="AA521">
            <v>0</v>
          </cell>
          <cell r="AB521">
            <v>0</v>
          </cell>
        </row>
        <row r="522">
          <cell r="B522" t="str">
            <v>海沧中心新地块</v>
          </cell>
        </row>
        <row r="522">
          <cell r="G522" t="str">
            <v>住宅-精装普宅</v>
          </cell>
          <cell r="H522" t="str">
            <v>回款含税(元）（非贷款类回款）</v>
          </cell>
        </row>
        <row r="522">
          <cell r="N522">
            <v>0</v>
          </cell>
        </row>
        <row r="522">
          <cell r="V522">
            <v>0</v>
          </cell>
          <cell r="W522">
            <v>237600000</v>
          </cell>
          <cell r="X522">
            <v>737812500</v>
          </cell>
          <cell r="Y522">
            <v>517152611.476324</v>
          </cell>
          <cell r="Z522">
            <v>0</v>
          </cell>
          <cell r="AA522">
            <v>0</v>
          </cell>
          <cell r="AB522">
            <v>0</v>
          </cell>
        </row>
        <row r="523">
          <cell r="B523" t="str">
            <v>海沧中心新地块</v>
          </cell>
        </row>
        <row r="523">
          <cell r="G523" t="str">
            <v>住宅-毛坯普宅</v>
          </cell>
          <cell r="H523" t="str">
            <v>回款含税(元）（非贷款类回款）</v>
          </cell>
        </row>
        <row r="523">
          <cell r="N523">
            <v>0</v>
          </cell>
        </row>
        <row r="523"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</row>
        <row r="524">
          <cell r="B524" t="str">
            <v>海沧中心新地块</v>
          </cell>
        </row>
        <row r="524">
          <cell r="G524" t="str">
            <v>住宅-精装非普宅</v>
          </cell>
          <cell r="H524" t="str">
            <v>回款含税(元）（非贷款类回款）</v>
          </cell>
        </row>
        <row r="524">
          <cell r="N524">
            <v>0</v>
          </cell>
        </row>
        <row r="524"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</row>
        <row r="525">
          <cell r="B525" t="str">
            <v>海沧中心新地块</v>
          </cell>
        </row>
        <row r="525">
          <cell r="G525" t="str">
            <v>住宅-毛坯非普宅</v>
          </cell>
          <cell r="H525" t="str">
            <v>回款含税(元）（非贷款类回款）</v>
          </cell>
        </row>
        <row r="525">
          <cell r="N525">
            <v>0</v>
          </cell>
        </row>
        <row r="525"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</row>
        <row r="526">
          <cell r="B526" t="str">
            <v>海沧中心新地块</v>
          </cell>
        </row>
        <row r="526">
          <cell r="G526" t="str">
            <v>住宅-毛坯非普宅</v>
          </cell>
          <cell r="H526" t="str">
            <v>回款含税(元）（非贷款类回款）</v>
          </cell>
        </row>
        <row r="526">
          <cell r="N526">
            <v>0</v>
          </cell>
        </row>
        <row r="526"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</row>
        <row r="527">
          <cell r="B527" t="str">
            <v>海沧中心新地块</v>
          </cell>
        </row>
        <row r="527">
          <cell r="G527" t="str">
            <v>办公楼</v>
          </cell>
          <cell r="H527" t="str">
            <v>回款含税(元）（非贷款类回款）</v>
          </cell>
        </row>
        <row r="527">
          <cell r="N527">
            <v>0</v>
          </cell>
        </row>
        <row r="527"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</row>
        <row r="528">
          <cell r="B528" t="str">
            <v>海沧中心新地块</v>
          </cell>
        </row>
        <row r="528">
          <cell r="G528" t="str">
            <v>商业</v>
          </cell>
          <cell r="H528" t="str">
            <v>回款含税(元）（非贷款类回款）</v>
          </cell>
        </row>
        <row r="528">
          <cell r="N528">
            <v>0</v>
          </cell>
        </row>
        <row r="528"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</row>
        <row r="529">
          <cell r="B529" t="str">
            <v>海沧中心新地块</v>
          </cell>
        </row>
        <row r="529">
          <cell r="G529" t="str">
            <v>车位</v>
          </cell>
          <cell r="H529" t="str">
            <v>回款含税(元）（非贷款类回款）</v>
          </cell>
        </row>
        <row r="529">
          <cell r="N529">
            <v>0</v>
          </cell>
        </row>
        <row r="529">
          <cell r="V529">
            <v>0</v>
          </cell>
          <cell r="W529">
            <v>5400000</v>
          </cell>
          <cell r="X529">
            <v>21540000</v>
          </cell>
          <cell r="Y529">
            <v>19920000</v>
          </cell>
          <cell r="Z529">
            <v>0</v>
          </cell>
          <cell r="AA529">
            <v>0</v>
          </cell>
          <cell r="AB529">
            <v>0</v>
          </cell>
        </row>
        <row r="530">
          <cell r="B530" t="str">
            <v>海沧中心新地块</v>
          </cell>
        </row>
        <row r="530">
          <cell r="G530" t="str">
            <v>住宅-精装普宅</v>
          </cell>
          <cell r="H530" t="str">
            <v>回款含税(元）（贷款类回款）</v>
          </cell>
        </row>
        <row r="530">
          <cell r="N530">
            <v>0</v>
          </cell>
        </row>
        <row r="530">
          <cell r="V530">
            <v>0</v>
          </cell>
          <cell r="W530">
            <v>0</v>
          </cell>
          <cell r="X530">
            <v>792600000</v>
          </cell>
          <cell r="Y530">
            <v>548437500</v>
          </cell>
          <cell r="Z530">
            <v>151527611.476324</v>
          </cell>
          <cell r="AA530">
            <v>0</v>
          </cell>
          <cell r="AB530">
            <v>0</v>
          </cell>
        </row>
        <row r="531">
          <cell r="B531" t="str">
            <v>海沧中心新地块</v>
          </cell>
        </row>
        <row r="531">
          <cell r="G531" t="str">
            <v>住宅-毛坯普宅</v>
          </cell>
          <cell r="H531" t="str">
            <v>回款含税(元）（贷款类回款）</v>
          </cell>
        </row>
        <row r="531">
          <cell r="N531">
            <v>0</v>
          </cell>
        </row>
        <row r="531"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</row>
        <row r="532">
          <cell r="B532" t="str">
            <v>海沧中心新地块</v>
          </cell>
        </row>
        <row r="532">
          <cell r="G532" t="str">
            <v>住宅-精装非普宅</v>
          </cell>
          <cell r="H532" t="str">
            <v>回款含税(元）（贷款类回款）</v>
          </cell>
        </row>
        <row r="532">
          <cell r="N532">
            <v>0</v>
          </cell>
        </row>
        <row r="532"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</row>
        <row r="533">
          <cell r="B533" t="str">
            <v>海沧中心新地块</v>
          </cell>
        </row>
        <row r="533">
          <cell r="G533" t="str">
            <v>住宅-毛坯非普宅</v>
          </cell>
          <cell r="H533" t="str">
            <v>回款含税(元）（贷款类回款）</v>
          </cell>
        </row>
        <row r="533">
          <cell r="N533">
            <v>0</v>
          </cell>
        </row>
        <row r="533"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</row>
        <row r="534">
          <cell r="B534" t="str">
            <v>海沧中心新地块</v>
          </cell>
        </row>
        <row r="534">
          <cell r="G534" t="str">
            <v>住宅-毛坯非普宅</v>
          </cell>
          <cell r="H534" t="str">
            <v>回款含税(元）（贷款类回款）</v>
          </cell>
        </row>
        <row r="534">
          <cell r="N534">
            <v>0</v>
          </cell>
        </row>
        <row r="534"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</row>
        <row r="535">
          <cell r="B535" t="str">
            <v>海沧中心新地块</v>
          </cell>
        </row>
        <row r="535">
          <cell r="G535" t="str">
            <v>办公楼</v>
          </cell>
          <cell r="H535" t="str">
            <v>回款含税(元）（贷款类回款）</v>
          </cell>
        </row>
        <row r="535">
          <cell r="N535">
            <v>0</v>
          </cell>
        </row>
        <row r="535"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</row>
        <row r="536">
          <cell r="B536" t="str">
            <v>海沧中心新地块</v>
          </cell>
        </row>
        <row r="536">
          <cell r="G536" t="str">
            <v>商业</v>
          </cell>
          <cell r="H536" t="str">
            <v>回款含税(元）（贷款类回款）</v>
          </cell>
        </row>
        <row r="536">
          <cell r="N536">
            <v>0</v>
          </cell>
        </row>
        <row r="536"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</row>
        <row r="537">
          <cell r="B537" t="str">
            <v>海沧中心新地块</v>
          </cell>
        </row>
        <row r="537">
          <cell r="G537" t="str">
            <v>车位</v>
          </cell>
          <cell r="H537" t="str">
            <v>回款含税(元）（贷款类回款）</v>
          </cell>
        </row>
        <row r="537">
          <cell r="N537">
            <v>0</v>
          </cell>
        </row>
        <row r="537">
          <cell r="V537">
            <v>0</v>
          </cell>
          <cell r="W537">
            <v>0</v>
          </cell>
          <cell r="X537">
            <v>21600000</v>
          </cell>
          <cell r="Y537">
            <v>15960000</v>
          </cell>
          <cell r="Z537">
            <v>9300000</v>
          </cell>
          <cell r="AA537">
            <v>0</v>
          </cell>
          <cell r="AB537">
            <v>0</v>
          </cell>
        </row>
        <row r="538">
          <cell r="B538" t="str">
            <v>海沧中心新地块（一期）</v>
          </cell>
        </row>
        <row r="538">
          <cell r="G538" t="str">
            <v>住宅-精装普宅</v>
          </cell>
          <cell r="H538" t="str">
            <v>套数（套）</v>
          </cell>
        </row>
        <row r="538">
          <cell r="V538">
            <v>0</v>
          </cell>
          <cell r="W538">
            <v>132</v>
          </cell>
          <cell r="X538">
            <v>180</v>
          </cell>
          <cell r="Y538">
            <v>116</v>
          </cell>
          <cell r="Z538">
            <v>0</v>
          </cell>
          <cell r="AA538">
            <v>0</v>
          </cell>
          <cell r="AB538">
            <v>0</v>
          </cell>
        </row>
        <row r="539">
          <cell r="B539" t="str">
            <v>海沧中心新地块（一期）</v>
          </cell>
        </row>
        <row r="539">
          <cell r="G539" t="str">
            <v>住宅-毛坯普宅</v>
          </cell>
          <cell r="H539" t="str">
            <v>套数（套）</v>
          </cell>
        </row>
        <row r="539"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B540" t="str">
            <v>海沧中心新地块（一期）</v>
          </cell>
        </row>
        <row r="540">
          <cell r="G540" t="str">
            <v>住宅-精装非普宅</v>
          </cell>
          <cell r="H540" t="str">
            <v>套数（套）</v>
          </cell>
        </row>
        <row r="540"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B541" t="str">
            <v>海沧中心新地块（一期）</v>
          </cell>
        </row>
        <row r="541">
          <cell r="G541" t="str">
            <v>住宅-毛坯非普宅</v>
          </cell>
          <cell r="H541" t="str">
            <v>套数（套）</v>
          </cell>
        </row>
        <row r="541"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B542" t="str">
            <v>海沧中心新地块（一期）</v>
          </cell>
        </row>
        <row r="542">
          <cell r="G542" t="str">
            <v>住宅-毛坯非普宅</v>
          </cell>
          <cell r="H542" t="str">
            <v>套数（套）</v>
          </cell>
        </row>
        <row r="542"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B543" t="str">
            <v>海沧中心新地块（一期）</v>
          </cell>
        </row>
        <row r="543">
          <cell r="G543" t="str">
            <v>办公楼</v>
          </cell>
          <cell r="H543" t="str">
            <v>套数（套）</v>
          </cell>
        </row>
        <row r="543"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</row>
        <row r="544">
          <cell r="B544" t="str">
            <v>海沧中心新地块（一期）</v>
          </cell>
        </row>
        <row r="544">
          <cell r="G544" t="str">
            <v>商业</v>
          </cell>
          <cell r="H544" t="str">
            <v>套数（套）</v>
          </cell>
        </row>
        <row r="544"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B545" t="str">
            <v>海沧中心新地块（一期）</v>
          </cell>
        </row>
        <row r="545">
          <cell r="G545" t="str">
            <v>车位</v>
          </cell>
          <cell r="H545" t="str">
            <v>套数（套）</v>
          </cell>
        </row>
        <row r="545">
          <cell r="V545">
            <v>0</v>
          </cell>
          <cell r="W545">
            <v>90</v>
          </cell>
          <cell r="X545">
            <v>144</v>
          </cell>
          <cell r="Y545">
            <v>137</v>
          </cell>
          <cell r="Z545">
            <v>0</v>
          </cell>
          <cell r="AA545">
            <v>0</v>
          </cell>
          <cell r="AB545">
            <v>0</v>
          </cell>
        </row>
        <row r="546">
          <cell r="B546" t="str">
            <v>海沧中心新地块（一期）</v>
          </cell>
        </row>
        <row r="546">
          <cell r="G546" t="str">
            <v>住宅-精装普宅</v>
          </cell>
          <cell r="H546" t="str">
            <v>面积（㎡）</v>
          </cell>
        </row>
        <row r="546">
          <cell r="V546">
            <v>0</v>
          </cell>
          <cell r="W546">
            <v>14859.24</v>
          </cell>
          <cell r="X546">
            <v>20577.6</v>
          </cell>
          <cell r="Y546">
            <v>13336.08500172</v>
          </cell>
          <cell r="Z546">
            <v>0</v>
          </cell>
          <cell r="AA546">
            <v>0</v>
          </cell>
          <cell r="AB546">
            <v>0</v>
          </cell>
        </row>
        <row r="547">
          <cell r="B547" t="str">
            <v>海沧中心新地块（一期）</v>
          </cell>
        </row>
        <row r="547">
          <cell r="G547" t="str">
            <v>住宅-毛坯普宅</v>
          </cell>
          <cell r="H547" t="str">
            <v>面积（㎡）</v>
          </cell>
        </row>
        <row r="547"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B548" t="str">
            <v>海沧中心新地块（一期）</v>
          </cell>
        </row>
        <row r="548">
          <cell r="G548" t="str">
            <v>住宅-精装非普宅</v>
          </cell>
          <cell r="H548" t="str">
            <v>面积（㎡）</v>
          </cell>
        </row>
        <row r="548"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B549" t="str">
            <v>海沧中心新地块（一期）</v>
          </cell>
        </row>
        <row r="549">
          <cell r="G549" t="str">
            <v>住宅-毛坯非普宅</v>
          </cell>
          <cell r="H549" t="str">
            <v>面积（㎡）</v>
          </cell>
        </row>
        <row r="549"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B550" t="str">
            <v>海沧中心新地块（一期）</v>
          </cell>
        </row>
        <row r="550">
          <cell r="G550" t="str">
            <v>住宅-毛坯非普宅</v>
          </cell>
          <cell r="H550" t="str">
            <v>面积（㎡）</v>
          </cell>
        </row>
        <row r="550"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B551" t="str">
            <v>海沧中心新地块（一期）</v>
          </cell>
        </row>
        <row r="551">
          <cell r="G551" t="str">
            <v>办公楼</v>
          </cell>
          <cell r="H551" t="str">
            <v>面积（㎡）</v>
          </cell>
        </row>
        <row r="551"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B552" t="str">
            <v>海沧中心新地块（一期）</v>
          </cell>
        </row>
        <row r="552">
          <cell r="G552" t="str">
            <v>商业</v>
          </cell>
          <cell r="H552" t="str">
            <v>面积（㎡）</v>
          </cell>
        </row>
        <row r="552"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B553" t="str">
            <v>海沧中心新地块（一期）</v>
          </cell>
        </row>
        <row r="553">
          <cell r="G553" t="str">
            <v>车位</v>
          </cell>
          <cell r="H553" t="str">
            <v>面积（㎡）</v>
          </cell>
        </row>
        <row r="553">
          <cell r="V553">
            <v>0</v>
          </cell>
          <cell r="W553">
            <v>3690</v>
          </cell>
          <cell r="X553">
            <v>5904</v>
          </cell>
          <cell r="Y553">
            <v>5617</v>
          </cell>
          <cell r="Z553">
            <v>0</v>
          </cell>
          <cell r="AA553">
            <v>0</v>
          </cell>
          <cell r="AB553">
            <v>0</v>
          </cell>
        </row>
        <row r="554">
          <cell r="B554" t="str">
            <v>海沧中心新地块（一期）</v>
          </cell>
        </row>
        <row r="554">
          <cell r="G554" t="str">
            <v>住宅-精装普宅</v>
          </cell>
          <cell r="H554" t="str">
            <v>签约(元）</v>
          </cell>
        </row>
        <row r="554">
          <cell r="V554">
            <v>0</v>
          </cell>
          <cell r="W554">
            <v>475200000</v>
          </cell>
          <cell r="X554">
            <v>675000000</v>
          </cell>
          <cell r="Y554">
            <v>435630135.451428</v>
          </cell>
          <cell r="Z554">
            <v>0</v>
          </cell>
          <cell r="AA554">
            <v>0</v>
          </cell>
          <cell r="AB554">
            <v>0</v>
          </cell>
        </row>
        <row r="555">
          <cell r="B555" t="str">
            <v>海沧中心新地块（一期）</v>
          </cell>
        </row>
        <row r="555">
          <cell r="G555" t="str">
            <v>住宅-毛坯普宅</v>
          </cell>
          <cell r="H555" t="str">
            <v>签约(元）</v>
          </cell>
        </row>
        <row r="555"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B556" t="str">
            <v>海沧中心新地块（一期）</v>
          </cell>
        </row>
        <row r="556">
          <cell r="G556" t="str">
            <v>住宅-精装非普宅</v>
          </cell>
          <cell r="H556" t="str">
            <v>签约(元）</v>
          </cell>
        </row>
        <row r="556"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B557" t="str">
            <v>海沧中心新地块（一期）</v>
          </cell>
        </row>
        <row r="557">
          <cell r="G557" t="str">
            <v>住宅-毛坯非普宅</v>
          </cell>
          <cell r="H557" t="str">
            <v>签约(元）</v>
          </cell>
        </row>
        <row r="557"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B558" t="str">
            <v>海沧中心新地块（一期）</v>
          </cell>
        </row>
        <row r="558">
          <cell r="G558" t="str">
            <v>住宅-毛坯非普宅</v>
          </cell>
          <cell r="H558" t="str">
            <v>签约(元）</v>
          </cell>
        </row>
        <row r="558"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B559" t="str">
            <v>海沧中心新地块（一期）</v>
          </cell>
        </row>
        <row r="559">
          <cell r="G559" t="str">
            <v>办公楼</v>
          </cell>
          <cell r="H559" t="str">
            <v>签约(元）</v>
          </cell>
        </row>
        <row r="559"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B560" t="str">
            <v>海沧中心新地块（一期）</v>
          </cell>
        </row>
        <row r="560">
          <cell r="G560" t="str">
            <v>商业</v>
          </cell>
          <cell r="H560" t="str">
            <v>签约(元）</v>
          </cell>
        </row>
        <row r="560"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B561" t="str">
            <v>海沧中心新地块（一期）</v>
          </cell>
        </row>
        <row r="561">
          <cell r="G561" t="str">
            <v>车位</v>
          </cell>
          <cell r="H561" t="str">
            <v>签约(元）</v>
          </cell>
        </row>
        <row r="561">
          <cell r="V561">
            <v>0</v>
          </cell>
          <cell r="W561">
            <v>10800000</v>
          </cell>
          <cell r="X561">
            <v>17280000</v>
          </cell>
          <cell r="Y561">
            <v>16440000</v>
          </cell>
          <cell r="Z561">
            <v>0</v>
          </cell>
          <cell r="AA561">
            <v>0</v>
          </cell>
          <cell r="AB561">
            <v>0</v>
          </cell>
        </row>
        <row r="562">
          <cell r="B562" t="str">
            <v>海沧中心新地块（一期）</v>
          </cell>
        </row>
        <row r="562">
          <cell r="G562" t="str">
            <v>住宅-精装普宅</v>
          </cell>
          <cell r="H562" t="str">
            <v>回款含税(元）</v>
          </cell>
        </row>
        <row r="562">
          <cell r="N562">
            <v>0</v>
          </cell>
        </row>
        <row r="562">
          <cell r="V562">
            <v>0</v>
          </cell>
          <cell r="W562">
            <v>237600000</v>
          </cell>
          <cell r="X562">
            <v>828225000</v>
          </cell>
          <cell r="Y562">
            <v>470940067.725714</v>
          </cell>
          <cell r="Z562">
            <v>49065067.725714</v>
          </cell>
          <cell r="AA562">
            <v>0</v>
          </cell>
          <cell r="AB562">
            <v>0</v>
          </cell>
        </row>
        <row r="563">
          <cell r="B563" t="str">
            <v>海沧中心新地块（一期）</v>
          </cell>
        </row>
        <row r="563">
          <cell r="G563" t="str">
            <v>住宅-毛坯普宅</v>
          </cell>
          <cell r="H563" t="str">
            <v>回款含税(元）</v>
          </cell>
        </row>
        <row r="563">
          <cell r="N563">
            <v>0</v>
          </cell>
        </row>
        <row r="563"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B564" t="str">
            <v>海沧中心新地块（一期）</v>
          </cell>
        </row>
        <row r="564">
          <cell r="G564" t="str">
            <v>住宅-精装非普宅</v>
          </cell>
          <cell r="H564" t="str">
            <v>回款含税(元）</v>
          </cell>
        </row>
        <row r="564">
          <cell r="N564">
            <v>0</v>
          </cell>
        </row>
        <row r="564"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B565" t="str">
            <v>海沧中心新地块（一期）</v>
          </cell>
        </row>
        <row r="565">
          <cell r="G565" t="str">
            <v>住宅-毛坯非普宅</v>
          </cell>
          <cell r="H565" t="str">
            <v>回款含税(元）</v>
          </cell>
        </row>
        <row r="565">
          <cell r="N565">
            <v>0</v>
          </cell>
        </row>
        <row r="565"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B566" t="str">
            <v>海沧中心新地块（一期）</v>
          </cell>
        </row>
        <row r="566">
          <cell r="G566" t="str">
            <v>住宅-毛坯非普宅</v>
          </cell>
          <cell r="H566" t="str">
            <v>回款含税(元）</v>
          </cell>
        </row>
        <row r="566">
          <cell r="N566">
            <v>0</v>
          </cell>
        </row>
        <row r="566"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B567" t="str">
            <v>海沧中心新地块（一期）</v>
          </cell>
        </row>
        <row r="567">
          <cell r="G567" t="str">
            <v>办公楼</v>
          </cell>
          <cell r="H567" t="str">
            <v>回款含税(元）</v>
          </cell>
        </row>
        <row r="567">
          <cell r="N567">
            <v>0</v>
          </cell>
        </row>
        <row r="567"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B568" t="str">
            <v>海沧中心新地块（一期）</v>
          </cell>
        </row>
        <row r="568">
          <cell r="G568" t="str">
            <v>商业</v>
          </cell>
          <cell r="H568" t="str">
            <v>回款含税(元）</v>
          </cell>
        </row>
        <row r="568">
          <cell r="N568">
            <v>0</v>
          </cell>
        </row>
        <row r="568"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B569" t="str">
            <v>海沧中心新地块（一期）</v>
          </cell>
        </row>
        <row r="569">
          <cell r="G569" t="str">
            <v>车位</v>
          </cell>
          <cell r="H569" t="str">
            <v>回款含税(元）</v>
          </cell>
        </row>
        <row r="569">
          <cell r="N569">
            <v>0</v>
          </cell>
        </row>
        <row r="569">
          <cell r="V569">
            <v>0</v>
          </cell>
          <cell r="W569">
            <v>5400000</v>
          </cell>
          <cell r="X569">
            <v>20520000</v>
          </cell>
          <cell r="Y569">
            <v>14700000</v>
          </cell>
          <cell r="Z569">
            <v>3900000</v>
          </cell>
          <cell r="AA569">
            <v>0</v>
          </cell>
          <cell r="AB569">
            <v>0</v>
          </cell>
        </row>
        <row r="570">
          <cell r="B570" t="str">
            <v>海沧中心新地块（一期）</v>
          </cell>
        </row>
        <row r="570">
          <cell r="G570" t="str">
            <v>住宅-精装普宅</v>
          </cell>
          <cell r="H570" t="str">
            <v>回款含税(元）（非贷款类回款）</v>
          </cell>
        </row>
        <row r="570">
          <cell r="V570">
            <v>0</v>
          </cell>
          <cell r="W570">
            <v>237600000</v>
          </cell>
          <cell r="X570">
            <v>337500000</v>
          </cell>
          <cell r="Y570">
            <v>217815067.725714</v>
          </cell>
          <cell r="Z570">
            <v>0</v>
          </cell>
          <cell r="AA570">
            <v>0</v>
          </cell>
          <cell r="AB570">
            <v>0</v>
          </cell>
        </row>
        <row r="571">
          <cell r="B571" t="str">
            <v>海沧中心新地块（一期）</v>
          </cell>
        </row>
        <row r="571">
          <cell r="G571" t="str">
            <v>住宅-毛坯普宅</v>
          </cell>
          <cell r="H571" t="str">
            <v>回款含税(元）（非贷款类回款）</v>
          </cell>
        </row>
        <row r="571"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B572" t="str">
            <v>海沧中心新地块（一期）</v>
          </cell>
        </row>
        <row r="572">
          <cell r="G572" t="str">
            <v>住宅-精装非普宅</v>
          </cell>
          <cell r="H572" t="str">
            <v>回款含税(元）（非贷款类回款）</v>
          </cell>
        </row>
        <row r="572"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B573" t="str">
            <v>海沧中心新地块（一期）</v>
          </cell>
        </row>
        <row r="573">
          <cell r="G573" t="str">
            <v>住宅-毛坯非普宅</v>
          </cell>
          <cell r="H573" t="str">
            <v>回款含税(元）（非贷款类回款）</v>
          </cell>
        </row>
        <row r="573"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B574" t="str">
            <v>海沧中心新地块（一期）</v>
          </cell>
        </row>
        <row r="574">
          <cell r="G574" t="str">
            <v>住宅-毛坯非普宅</v>
          </cell>
          <cell r="H574" t="str">
            <v>回款含税(元）（非贷款类回款）</v>
          </cell>
        </row>
        <row r="574"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B575" t="str">
            <v>海沧中心新地块（一期）</v>
          </cell>
        </row>
        <row r="575">
          <cell r="G575" t="str">
            <v>办公楼</v>
          </cell>
          <cell r="H575" t="str">
            <v>回款含税(元）（非贷款类回款）</v>
          </cell>
        </row>
        <row r="575"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B576" t="str">
            <v>海沧中心新地块（一期）</v>
          </cell>
        </row>
        <row r="576">
          <cell r="G576" t="str">
            <v>商业</v>
          </cell>
          <cell r="H576" t="str">
            <v>回款含税(元）（非贷款类回款）</v>
          </cell>
        </row>
        <row r="576"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B577" t="str">
            <v>海沧中心新地块（一期）</v>
          </cell>
        </row>
        <row r="577">
          <cell r="G577" t="str">
            <v>车位</v>
          </cell>
          <cell r="H577" t="str">
            <v>回款含税(元）（非贷款类回款）</v>
          </cell>
        </row>
        <row r="577">
          <cell r="V577">
            <v>0</v>
          </cell>
          <cell r="W577">
            <v>5400000</v>
          </cell>
          <cell r="X577">
            <v>8640000</v>
          </cell>
          <cell r="Y577">
            <v>8220000</v>
          </cell>
          <cell r="Z577">
            <v>0</v>
          </cell>
          <cell r="AA577">
            <v>0</v>
          </cell>
          <cell r="AB577">
            <v>0</v>
          </cell>
        </row>
        <row r="578">
          <cell r="B578" t="str">
            <v>海沧中心新地块（一期）</v>
          </cell>
        </row>
        <row r="578">
          <cell r="G578" t="str">
            <v>住宅-精装普宅</v>
          </cell>
          <cell r="H578" t="str">
            <v>回款含税(元）（贷款类回款）</v>
          </cell>
        </row>
        <row r="578">
          <cell r="V578">
            <v>0</v>
          </cell>
          <cell r="W578">
            <v>0</v>
          </cell>
          <cell r="X578">
            <v>490725000</v>
          </cell>
          <cell r="Y578">
            <v>253125000</v>
          </cell>
          <cell r="Z578">
            <v>49065067.725714</v>
          </cell>
          <cell r="AA578">
            <v>0</v>
          </cell>
          <cell r="AB578">
            <v>0</v>
          </cell>
        </row>
        <row r="579">
          <cell r="B579" t="str">
            <v>海沧中心新地块（一期）</v>
          </cell>
        </row>
        <row r="579">
          <cell r="G579" t="str">
            <v>住宅-毛坯普宅</v>
          </cell>
          <cell r="H579" t="str">
            <v>回款含税(元）（贷款类回款）</v>
          </cell>
        </row>
        <row r="579"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B580" t="str">
            <v>海沧中心新地块（一期）</v>
          </cell>
        </row>
        <row r="580">
          <cell r="G580" t="str">
            <v>住宅-精装非普宅</v>
          </cell>
          <cell r="H580" t="str">
            <v>回款含税(元）（贷款类回款）</v>
          </cell>
        </row>
        <row r="580"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B581" t="str">
            <v>海沧中心新地块（一期）</v>
          </cell>
        </row>
        <row r="581">
          <cell r="G581" t="str">
            <v>住宅-毛坯非普宅</v>
          </cell>
          <cell r="H581" t="str">
            <v>回款含税(元）（贷款类回款）</v>
          </cell>
        </row>
        <row r="581"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</row>
        <row r="582">
          <cell r="B582" t="str">
            <v>海沧中心新地块（一期）</v>
          </cell>
        </row>
        <row r="582">
          <cell r="G582" t="str">
            <v>住宅-毛坯非普宅</v>
          </cell>
          <cell r="H582" t="str">
            <v>回款含税(元）（贷款类回款）</v>
          </cell>
        </row>
        <row r="582"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B583" t="str">
            <v>海沧中心新地块（一期）</v>
          </cell>
        </row>
        <row r="583">
          <cell r="G583" t="str">
            <v>办公楼</v>
          </cell>
          <cell r="H583" t="str">
            <v>回款含税(元）（贷款类回款）</v>
          </cell>
        </row>
        <row r="583"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B584" t="str">
            <v>海沧中心新地块（一期）</v>
          </cell>
        </row>
        <row r="584">
          <cell r="G584" t="str">
            <v>商业</v>
          </cell>
          <cell r="H584" t="str">
            <v>回款含税(元）（贷款类回款）</v>
          </cell>
        </row>
        <row r="584"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</row>
        <row r="585">
          <cell r="B585" t="str">
            <v>海沧中心新地块（一期）</v>
          </cell>
        </row>
        <row r="585">
          <cell r="G585" t="str">
            <v>车位</v>
          </cell>
          <cell r="H585" t="str">
            <v>回款含税(元）（贷款类回款）</v>
          </cell>
        </row>
        <row r="585">
          <cell r="V585">
            <v>0</v>
          </cell>
          <cell r="W585">
            <v>0</v>
          </cell>
          <cell r="X585">
            <v>11880000</v>
          </cell>
          <cell r="Y585">
            <v>6480000</v>
          </cell>
          <cell r="Z585">
            <v>3900000</v>
          </cell>
          <cell r="AA585">
            <v>0</v>
          </cell>
          <cell r="AB585">
            <v>0</v>
          </cell>
        </row>
        <row r="586">
          <cell r="B586" t="str">
            <v>海沧中心新地块（二期）</v>
          </cell>
        </row>
        <row r="586">
          <cell r="G586" t="str">
            <v>住宅-精装普宅</v>
          </cell>
          <cell r="H586" t="str">
            <v>套数（套）</v>
          </cell>
        </row>
        <row r="586">
          <cell r="V586">
            <v>0</v>
          </cell>
          <cell r="W586">
            <v>0</v>
          </cell>
          <cell r="X586">
            <v>305</v>
          </cell>
          <cell r="Y586">
            <v>228</v>
          </cell>
          <cell r="Z586">
            <v>0</v>
          </cell>
          <cell r="AA586">
            <v>0</v>
          </cell>
          <cell r="AB586">
            <v>0</v>
          </cell>
        </row>
        <row r="587">
          <cell r="B587" t="str">
            <v>海沧中心新地块（二期）</v>
          </cell>
        </row>
        <row r="587">
          <cell r="G587" t="str">
            <v>住宅-毛坯普宅</v>
          </cell>
          <cell r="H587" t="str">
            <v>套数（套）</v>
          </cell>
        </row>
        <row r="587"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B588" t="str">
            <v>海沧中心新地块（二期）</v>
          </cell>
        </row>
        <row r="588">
          <cell r="G588" t="str">
            <v>住宅-精装非普宅</v>
          </cell>
          <cell r="H588" t="str">
            <v>套数（套）</v>
          </cell>
        </row>
        <row r="588"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B589" t="str">
            <v>海沧中心新地块（二期）</v>
          </cell>
        </row>
        <row r="589">
          <cell r="G589" t="str">
            <v>住宅-毛坯非普宅</v>
          </cell>
          <cell r="H589" t="str">
            <v>套数（套）</v>
          </cell>
        </row>
        <row r="589"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</row>
        <row r="590">
          <cell r="B590" t="str">
            <v>海沧中心新地块（二期）</v>
          </cell>
        </row>
        <row r="590">
          <cell r="G590" t="str">
            <v>住宅-毛坯非普宅</v>
          </cell>
          <cell r="H590" t="str">
            <v>套数（套）</v>
          </cell>
        </row>
        <row r="590"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</row>
        <row r="591">
          <cell r="B591" t="str">
            <v>海沧中心新地块（二期）</v>
          </cell>
        </row>
        <row r="591">
          <cell r="G591" t="str">
            <v>办公楼</v>
          </cell>
          <cell r="H591" t="str">
            <v>套数（套）</v>
          </cell>
        </row>
        <row r="591"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B592" t="str">
            <v>海沧中心新地块（二期）</v>
          </cell>
        </row>
        <row r="592">
          <cell r="G592" t="str">
            <v>商业</v>
          </cell>
          <cell r="H592" t="str">
            <v>套数（套）</v>
          </cell>
        </row>
        <row r="592"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B593" t="str">
            <v>海沧中心新地块（二期）</v>
          </cell>
        </row>
        <row r="593">
          <cell r="G593" t="str">
            <v>车位</v>
          </cell>
          <cell r="H593" t="str">
            <v>套数（套）</v>
          </cell>
        </row>
        <row r="593">
          <cell r="V593">
            <v>0</v>
          </cell>
          <cell r="W593">
            <v>0</v>
          </cell>
          <cell r="X593">
            <v>215</v>
          </cell>
          <cell r="Y593">
            <v>195</v>
          </cell>
          <cell r="Z593">
            <v>0</v>
          </cell>
          <cell r="AA593">
            <v>0</v>
          </cell>
          <cell r="AB593">
            <v>0</v>
          </cell>
        </row>
        <row r="594">
          <cell r="B594" t="str">
            <v>海沧中心新地块（二期）</v>
          </cell>
        </row>
        <row r="594">
          <cell r="G594" t="str">
            <v>住宅-精装普宅</v>
          </cell>
          <cell r="H594" t="str">
            <v>面积（㎡）</v>
          </cell>
        </row>
        <row r="594">
          <cell r="V594">
            <v>0</v>
          </cell>
          <cell r="W594">
            <v>0</v>
          </cell>
          <cell r="X594">
            <v>25418.7</v>
          </cell>
          <cell r="Y594">
            <v>19003.5250000387</v>
          </cell>
          <cell r="Z594">
            <v>0</v>
          </cell>
          <cell r="AA594">
            <v>0</v>
          </cell>
          <cell r="AB594">
            <v>0</v>
          </cell>
        </row>
        <row r="595">
          <cell r="B595" t="str">
            <v>海沧中心新地块（二期）</v>
          </cell>
        </row>
        <row r="595">
          <cell r="G595" t="str">
            <v>住宅-毛坯普宅</v>
          </cell>
          <cell r="H595" t="str">
            <v>面积（㎡）</v>
          </cell>
        </row>
        <row r="595"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</row>
        <row r="596">
          <cell r="B596" t="str">
            <v>海沧中心新地块（二期）</v>
          </cell>
        </row>
        <row r="596">
          <cell r="G596" t="str">
            <v>住宅-精装非普宅</v>
          </cell>
          <cell r="H596" t="str">
            <v>面积（㎡）</v>
          </cell>
        </row>
        <row r="596"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</row>
        <row r="597">
          <cell r="B597" t="str">
            <v>海沧中心新地块（二期）</v>
          </cell>
        </row>
        <row r="597">
          <cell r="G597" t="str">
            <v>住宅-毛坯非普宅</v>
          </cell>
          <cell r="H597" t="str">
            <v>面积（㎡）</v>
          </cell>
        </row>
        <row r="597"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</row>
        <row r="598">
          <cell r="B598" t="str">
            <v>海沧中心新地块（二期）</v>
          </cell>
        </row>
        <row r="598">
          <cell r="G598" t="str">
            <v>住宅-毛坯非普宅</v>
          </cell>
          <cell r="H598" t="str">
            <v>面积（㎡）</v>
          </cell>
        </row>
        <row r="598"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</row>
        <row r="599">
          <cell r="B599" t="str">
            <v>海沧中心新地块（二期）</v>
          </cell>
        </row>
        <row r="599">
          <cell r="G599" t="str">
            <v>办公楼</v>
          </cell>
          <cell r="H599" t="str">
            <v>面积（㎡）</v>
          </cell>
        </row>
        <row r="599"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</row>
        <row r="600">
          <cell r="B600" t="str">
            <v>海沧中心新地块（二期）</v>
          </cell>
        </row>
        <row r="600">
          <cell r="G600" t="str">
            <v>商业</v>
          </cell>
          <cell r="H600" t="str">
            <v>面积（㎡）</v>
          </cell>
        </row>
        <row r="600"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</row>
        <row r="601">
          <cell r="B601" t="str">
            <v>海沧中心新地块（二期）</v>
          </cell>
        </row>
        <row r="601">
          <cell r="G601" t="str">
            <v>车位</v>
          </cell>
          <cell r="H601" t="str">
            <v>面积（㎡）</v>
          </cell>
        </row>
        <row r="601">
          <cell r="V601">
            <v>0</v>
          </cell>
          <cell r="W601">
            <v>0</v>
          </cell>
          <cell r="X601">
            <v>7310</v>
          </cell>
          <cell r="Y601">
            <v>6630</v>
          </cell>
          <cell r="Z601">
            <v>0</v>
          </cell>
          <cell r="AA601">
            <v>0</v>
          </cell>
          <cell r="AB601">
            <v>0</v>
          </cell>
        </row>
        <row r="602">
          <cell r="B602" t="str">
            <v>海沧中心新地块（二期）</v>
          </cell>
        </row>
        <row r="602">
          <cell r="G602" t="str">
            <v>住宅-精装普宅</v>
          </cell>
          <cell r="H602" t="str">
            <v>签约(元）</v>
          </cell>
        </row>
        <row r="602">
          <cell r="V602">
            <v>0</v>
          </cell>
          <cell r="W602">
            <v>0</v>
          </cell>
          <cell r="X602">
            <v>800625000</v>
          </cell>
          <cell r="Y602">
            <v>598675087.501219</v>
          </cell>
          <cell r="Z602">
            <v>0</v>
          </cell>
          <cell r="AA602">
            <v>0</v>
          </cell>
          <cell r="AB602">
            <v>0</v>
          </cell>
        </row>
        <row r="603">
          <cell r="B603" t="str">
            <v>海沧中心新地块（二期）</v>
          </cell>
        </row>
        <row r="603">
          <cell r="G603" t="str">
            <v>住宅-毛坯普宅</v>
          </cell>
          <cell r="H603" t="str">
            <v>签约(元）</v>
          </cell>
        </row>
        <row r="603"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</row>
        <row r="604">
          <cell r="B604" t="str">
            <v>海沧中心新地块（二期）</v>
          </cell>
        </row>
        <row r="604">
          <cell r="G604" t="str">
            <v>住宅-精装非普宅</v>
          </cell>
          <cell r="H604" t="str">
            <v>签约(元）</v>
          </cell>
        </row>
        <row r="604"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</row>
        <row r="605">
          <cell r="B605" t="str">
            <v>海沧中心新地块（二期）</v>
          </cell>
        </row>
        <row r="605">
          <cell r="G605" t="str">
            <v>住宅-毛坯非普宅</v>
          </cell>
          <cell r="H605" t="str">
            <v>签约(元）</v>
          </cell>
        </row>
        <row r="605"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</row>
        <row r="606">
          <cell r="B606" t="str">
            <v>海沧中心新地块（二期）</v>
          </cell>
        </row>
        <row r="606">
          <cell r="G606" t="str">
            <v>住宅-毛坯非普宅</v>
          </cell>
          <cell r="H606" t="str">
            <v>签约(元）</v>
          </cell>
        </row>
        <row r="606"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</row>
        <row r="607">
          <cell r="B607" t="str">
            <v>海沧中心新地块（二期）</v>
          </cell>
        </row>
        <row r="607">
          <cell r="G607" t="str">
            <v>办公楼</v>
          </cell>
          <cell r="H607" t="str">
            <v>签约(元）</v>
          </cell>
        </row>
        <row r="607"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</row>
        <row r="608">
          <cell r="B608" t="str">
            <v>海沧中心新地块（二期）</v>
          </cell>
        </row>
        <row r="608">
          <cell r="G608" t="str">
            <v>商业</v>
          </cell>
          <cell r="H608" t="str">
            <v>签约(元）</v>
          </cell>
        </row>
        <row r="608"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</row>
        <row r="609">
          <cell r="B609" t="str">
            <v>海沧中心新地块（二期）</v>
          </cell>
        </row>
        <row r="609">
          <cell r="G609" t="str">
            <v>车位</v>
          </cell>
          <cell r="H609" t="str">
            <v>签约(元）</v>
          </cell>
        </row>
        <row r="609">
          <cell r="V609">
            <v>0</v>
          </cell>
          <cell r="W609">
            <v>0</v>
          </cell>
          <cell r="X609">
            <v>25800000</v>
          </cell>
          <cell r="Y609">
            <v>23400000</v>
          </cell>
          <cell r="Z609">
            <v>0</v>
          </cell>
          <cell r="AA609">
            <v>0</v>
          </cell>
          <cell r="AB609">
            <v>0</v>
          </cell>
        </row>
        <row r="610">
          <cell r="B610" t="str">
            <v>海沧中心新地块（二期）</v>
          </cell>
        </row>
        <row r="610">
          <cell r="G610" t="str">
            <v>住宅-精装普宅</v>
          </cell>
          <cell r="H610" t="str">
            <v>回款含税(元）</v>
          </cell>
        </row>
        <row r="610">
          <cell r="N610">
            <v>0</v>
          </cell>
        </row>
        <row r="610">
          <cell r="V610">
            <v>0</v>
          </cell>
          <cell r="W610">
            <v>0</v>
          </cell>
          <cell r="X610">
            <v>702187500</v>
          </cell>
          <cell r="Y610">
            <v>594650043.75061</v>
          </cell>
          <cell r="Z610">
            <v>102462543.75061</v>
          </cell>
          <cell r="AA610">
            <v>0</v>
          </cell>
          <cell r="AB610">
            <v>0</v>
          </cell>
        </row>
        <row r="611">
          <cell r="B611" t="str">
            <v>海沧中心新地块（二期）</v>
          </cell>
        </row>
        <row r="611">
          <cell r="G611" t="str">
            <v>住宅-毛坯普宅</v>
          </cell>
          <cell r="H611" t="str">
            <v>回款含税(元）</v>
          </cell>
        </row>
        <row r="611">
          <cell r="N611">
            <v>0</v>
          </cell>
        </row>
        <row r="611"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</row>
        <row r="612">
          <cell r="B612" t="str">
            <v>海沧中心新地块（二期）</v>
          </cell>
        </row>
        <row r="612">
          <cell r="G612" t="str">
            <v>住宅-精装非普宅</v>
          </cell>
          <cell r="H612" t="str">
            <v>回款含税(元）</v>
          </cell>
        </row>
        <row r="612">
          <cell r="N612">
            <v>0</v>
          </cell>
        </row>
        <row r="612"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</row>
        <row r="613">
          <cell r="B613" t="str">
            <v>海沧中心新地块（二期）</v>
          </cell>
        </row>
        <row r="613">
          <cell r="G613" t="str">
            <v>住宅-毛坯非普宅</v>
          </cell>
          <cell r="H613" t="str">
            <v>回款含税(元）</v>
          </cell>
        </row>
        <row r="613">
          <cell r="N613">
            <v>0</v>
          </cell>
        </row>
        <row r="613"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</row>
        <row r="614">
          <cell r="B614" t="str">
            <v>海沧中心新地块（二期）</v>
          </cell>
        </row>
        <row r="614">
          <cell r="G614" t="str">
            <v>住宅-毛坯非普宅</v>
          </cell>
          <cell r="H614" t="str">
            <v>回款含税(元）</v>
          </cell>
        </row>
        <row r="614">
          <cell r="N614">
            <v>0</v>
          </cell>
        </row>
        <row r="614"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</row>
        <row r="615">
          <cell r="B615" t="str">
            <v>海沧中心新地块（二期）</v>
          </cell>
        </row>
        <row r="615">
          <cell r="G615" t="str">
            <v>办公楼</v>
          </cell>
          <cell r="H615" t="str">
            <v>回款含税(元）</v>
          </cell>
        </row>
        <row r="615">
          <cell r="N615">
            <v>0</v>
          </cell>
        </row>
        <row r="615"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</row>
        <row r="616">
          <cell r="B616" t="str">
            <v>海沧中心新地块（二期）</v>
          </cell>
        </row>
        <row r="616">
          <cell r="G616" t="str">
            <v>商业</v>
          </cell>
          <cell r="H616" t="str">
            <v>回款含税(元）</v>
          </cell>
        </row>
        <row r="616">
          <cell r="N616">
            <v>0</v>
          </cell>
        </row>
        <row r="616"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</row>
        <row r="617">
          <cell r="B617" t="str">
            <v>海沧中心新地块（二期）</v>
          </cell>
        </row>
        <row r="617">
          <cell r="G617" t="str">
            <v>车位</v>
          </cell>
          <cell r="H617" t="str">
            <v>回款含税(元）</v>
          </cell>
        </row>
        <row r="617">
          <cell r="N617">
            <v>0</v>
          </cell>
        </row>
        <row r="617">
          <cell r="V617">
            <v>0</v>
          </cell>
          <cell r="W617">
            <v>0</v>
          </cell>
          <cell r="X617">
            <v>22620000</v>
          </cell>
          <cell r="Y617">
            <v>21180000</v>
          </cell>
          <cell r="Z617">
            <v>5400000</v>
          </cell>
          <cell r="AA617">
            <v>0</v>
          </cell>
          <cell r="AB617">
            <v>0</v>
          </cell>
        </row>
        <row r="618">
          <cell r="B618" t="str">
            <v>海沧中心新地块（二期）</v>
          </cell>
        </row>
        <row r="618">
          <cell r="G618" t="str">
            <v>住宅-精装普宅</v>
          </cell>
          <cell r="H618" t="str">
            <v>回款含税(元）（非贷款类回款）</v>
          </cell>
        </row>
        <row r="618">
          <cell r="V618">
            <v>0</v>
          </cell>
          <cell r="W618">
            <v>0</v>
          </cell>
          <cell r="X618">
            <v>400312500</v>
          </cell>
          <cell r="Y618">
            <v>299337543.75061</v>
          </cell>
          <cell r="Z618">
            <v>0</v>
          </cell>
          <cell r="AA618">
            <v>0</v>
          </cell>
          <cell r="AB618">
            <v>0</v>
          </cell>
        </row>
        <row r="619">
          <cell r="B619" t="str">
            <v>海沧中心新地块（二期）</v>
          </cell>
        </row>
        <row r="619">
          <cell r="G619" t="str">
            <v>住宅-毛坯普宅</v>
          </cell>
          <cell r="H619" t="str">
            <v>回款含税(元）（非贷款类回款）</v>
          </cell>
        </row>
        <row r="619"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</row>
        <row r="620">
          <cell r="B620" t="str">
            <v>海沧中心新地块（二期）</v>
          </cell>
        </row>
        <row r="620">
          <cell r="G620" t="str">
            <v>住宅-精装非普宅</v>
          </cell>
          <cell r="H620" t="str">
            <v>回款含税(元）（非贷款类回款）</v>
          </cell>
        </row>
        <row r="620"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</row>
        <row r="621">
          <cell r="B621" t="str">
            <v>海沧中心新地块（二期）</v>
          </cell>
        </row>
        <row r="621">
          <cell r="G621" t="str">
            <v>住宅-毛坯非普宅</v>
          </cell>
          <cell r="H621" t="str">
            <v>回款含税(元）（非贷款类回款）</v>
          </cell>
        </row>
        <row r="621"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</row>
        <row r="622">
          <cell r="B622" t="str">
            <v>海沧中心新地块（二期）</v>
          </cell>
        </row>
        <row r="622">
          <cell r="G622" t="str">
            <v>住宅-毛坯非普宅</v>
          </cell>
          <cell r="H622" t="str">
            <v>回款含税(元）（非贷款类回款）</v>
          </cell>
        </row>
        <row r="622"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</row>
        <row r="623">
          <cell r="B623" t="str">
            <v>海沧中心新地块（二期）</v>
          </cell>
        </row>
        <row r="623">
          <cell r="G623" t="str">
            <v>办公楼</v>
          </cell>
          <cell r="H623" t="str">
            <v>回款含税(元）（非贷款类回款）</v>
          </cell>
        </row>
        <row r="623"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</row>
        <row r="624">
          <cell r="B624" t="str">
            <v>海沧中心新地块（二期）</v>
          </cell>
        </row>
        <row r="624">
          <cell r="G624" t="str">
            <v>商业</v>
          </cell>
          <cell r="H624" t="str">
            <v>回款含税(元）（非贷款类回款）</v>
          </cell>
        </row>
        <row r="624"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</row>
        <row r="625">
          <cell r="B625" t="str">
            <v>海沧中心新地块（二期）</v>
          </cell>
        </row>
        <row r="625">
          <cell r="G625" t="str">
            <v>车位</v>
          </cell>
          <cell r="H625" t="str">
            <v>回款含税(元）（非贷款类回款）</v>
          </cell>
        </row>
        <row r="625">
          <cell r="V625">
            <v>0</v>
          </cell>
          <cell r="W625">
            <v>0</v>
          </cell>
          <cell r="X625">
            <v>12900000</v>
          </cell>
          <cell r="Y625">
            <v>11700000</v>
          </cell>
          <cell r="Z625">
            <v>0</v>
          </cell>
          <cell r="AA625">
            <v>0</v>
          </cell>
          <cell r="AB625">
            <v>0</v>
          </cell>
        </row>
        <row r="626">
          <cell r="B626" t="str">
            <v>海沧中心新地块（二期）</v>
          </cell>
        </row>
        <row r="626">
          <cell r="G626" t="str">
            <v>住宅-精装普宅</v>
          </cell>
          <cell r="H626" t="str">
            <v>回款含税(元）（贷款类回款）</v>
          </cell>
        </row>
        <row r="626">
          <cell r="V626">
            <v>0</v>
          </cell>
          <cell r="W626">
            <v>0</v>
          </cell>
          <cell r="X626">
            <v>301875000</v>
          </cell>
          <cell r="Y626">
            <v>295312500</v>
          </cell>
          <cell r="Z626">
            <v>102462543.75061</v>
          </cell>
          <cell r="AA626">
            <v>0</v>
          </cell>
          <cell r="AB626">
            <v>0</v>
          </cell>
        </row>
        <row r="627">
          <cell r="B627" t="str">
            <v>海沧中心新地块（二期）</v>
          </cell>
        </row>
        <row r="627">
          <cell r="G627" t="str">
            <v>住宅-毛坯普宅</v>
          </cell>
          <cell r="H627" t="str">
            <v>回款含税(元）（贷款类回款）</v>
          </cell>
        </row>
        <row r="627"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</row>
        <row r="628">
          <cell r="B628" t="str">
            <v>海沧中心新地块（二期）</v>
          </cell>
        </row>
        <row r="628">
          <cell r="G628" t="str">
            <v>住宅-精装非普宅</v>
          </cell>
          <cell r="H628" t="str">
            <v>回款含税(元）（贷款类回款）</v>
          </cell>
        </row>
        <row r="628"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</row>
        <row r="629">
          <cell r="B629" t="str">
            <v>海沧中心新地块（二期）</v>
          </cell>
        </row>
        <row r="629">
          <cell r="G629" t="str">
            <v>住宅-毛坯非普宅</v>
          </cell>
          <cell r="H629" t="str">
            <v>回款含税(元）（贷款类回款）</v>
          </cell>
        </row>
        <row r="629"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</row>
        <row r="630">
          <cell r="B630" t="str">
            <v>海沧中心新地块（二期）</v>
          </cell>
        </row>
        <row r="630">
          <cell r="G630" t="str">
            <v>住宅-毛坯非普宅</v>
          </cell>
          <cell r="H630" t="str">
            <v>回款含税(元）（贷款类回款）</v>
          </cell>
        </row>
        <row r="630"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</row>
        <row r="631">
          <cell r="B631" t="str">
            <v>海沧中心新地块（二期）</v>
          </cell>
        </row>
        <row r="631">
          <cell r="G631" t="str">
            <v>办公楼</v>
          </cell>
          <cell r="H631" t="str">
            <v>回款含税(元）（贷款类回款）</v>
          </cell>
        </row>
        <row r="631"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</row>
        <row r="632">
          <cell r="B632" t="str">
            <v>海沧中心新地块（二期）</v>
          </cell>
        </row>
        <row r="632">
          <cell r="G632" t="str">
            <v>商业</v>
          </cell>
          <cell r="H632" t="str">
            <v>回款含税(元）（贷款类回款）</v>
          </cell>
        </row>
        <row r="632"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</row>
        <row r="633">
          <cell r="B633" t="str">
            <v>海沧中心新地块（二期）</v>
          </cell>
        </row>
        <row r="633">
          <cell r="G633" t="str">
            <v>车位</v>
          </cell>
          <cell r="H633" t="str">
            <v>回款含税(元）（贷款类回款）</v>
          </cell>
        </row>
        <row r="633">
          <cell r="V633">
            <v>0</v>
          </cell>
          <cell r="W633">
            <v>0</v>
          </cell>
          <cell r="X633">
            <v>9720000</v>
          </cell>
          <cell r="Y633">
            <v>9480000</v>
          </cell>
          <cell r="Z633">
            <v>5400000</v>
          </cell>
          <cell r="AA633">
            <v>0</v>
          </cell>
          <cell r="AB633">
            <v>0</v>
          </cell>
        </row>
        <row r="634">
          <cell r="B634" t="str">
            <v>七星湾TOD项目</v>
          </cell>
        </row>
        <row r="634">
          <cell r="G634" t="str">
            <v>住宅-精装普宅</v>
          </cell>
          <cell r="H634" t="str">
            <v>套数（套）</v>
          </cell>
        </row>
        <row r="634">
          <cell r="N634">
            <v>995</v>
          </cell>
        </row>
        <row r="634">
          <cell r="V634">
            <v>534</v>
          </cell>
          <cell r="W634">
            <v>607</v>
          </cell>
          <cell r="X634">
            <v>560</v>
          </cell>
          <cell r="Y634">
            <v>624</v>
          </cell>
          <cell r="Z634">
            <v>600</v>
          </cell>
          <cell r="AA634">
            <v>0</v>
          </cell>
          <cell r="AB634">
            <v>0</v>
          </cell>
        </row>
        <row r="635">
          <cell r="B635" t="str">
            <v>七星湾TOD项目</v>
          </cell>
        </row>
        <row r="635">
          <cell r="G635" t="str">
            <v>住宅-毛坯普宅</v>
          </cell>
          <cell r="H635" t="str">
            <v>套数（套）</v>
          </cell>
        </row>
        <row r="635">
          <cell r="N635">
            <v>0</v>
          </cell>
        </row>
        <row r="635"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</row>
        <row r="636">
          <cell r="B636" t="str">
            <v>七星湾TOD项目</v>
          </cell>
        </row>
        <row r="636">
          <cell r="G636" t="str">
            <v>住宅-精装非普宅</v>
          </cell>
          <cell r="H636" t="str">
            <v>套数（套）</v>
          </cell>
        </row>
        <row r="636">
          <cell r="N636">
            <v>16</v>
          </cell>
        </row>
        <row r="636">
          <cell r="V636">
            <v>22</v>
          </cell>
          <cell r="W636">
            <v>25</v>
          </cell>
          <cell r="X636">
            <v>40</v>
          </cell>
          <cell r="Y636">
            <v>28</v>
          </cell>
          <cell r="Z636">
            <v>0</v>
          </cell>
          <cell r="AA636">
            <v>0</v>
          </cell>
          <cell r="AB636">
            <v>0</v>
          </cell>
        </row>
        <row r="637">
          <cell r="B637" t="str">
            <v>七星湾TOD项目</v>
          </cell>
        </row>
        <row r="637">
          <cell r="G637" t="str">
            <v>住宅-毛坯非普宅</v>
          </cell>
          <cell r="H637" t="str">
            <v>套数（套）</v>
          </cell>
        </row>
        <row r="637">
          <cell r="N637">
            <v>0</v>
          </cell>
        </row>
        <row r="637"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</row>
        <row r="638">
          <cell r="B638" t="str">
            <v>七星湾TOD项目</v>
          </cell>
        </row>
        <row r="638">
          <cell r="G638" t="str">
            <v>住宅-毛坯非普宅</v>
          </cell>
          <cell r="H638" t="str">
            <v>套数（套）</v>
          </cell>
        </row>
        <row r="638">
          <cell r="N638">
            <v>0</v>
          </cell>
        </row>
        <row r="638"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</row>
        <row r="639">
          <cell r="B639" t="str">
            <v>七星湾TOD项目</v>
          </cell>
        </row>
        <row r="639">
          <cell r="G639" t="str">
            <v>办公楼</v>
          </cell>
          <cell r="H639" t="str">
            <v>套数（套）</v>
          </cell>
        </row>
        <row r="639">
          <cell r="N639">
            <v>0</v>
          </cell>
        </row>
        <row r="639"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</row>
        <row r="640">
          <cell r="B640" t="str">
            <v>七星湾TOD项目</v>
          </cell>
        </row>
        <row r="640">
          <cell r="G640" t="str">
            <v>商业</v>
          </cell>
          <cell r="H640" t="str">
            <v>套数（套）</v>
          </cell>
        </row>
        <row r="640">
          <cell r="N640">
            <v>0</v>
          </cell>
        </row>
        <row r="640"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99</v>
          </cell>
        </row>
        <row r="641">
          <cell r="B641" t="str">
            <v>七星湾TOD项目</v>
          </cell>
        </row>
        <row r="641">
          <cell r="G641" t="str">
            <v>车位</v>
          </cell>
          <cell r="H641" t="str">
            <v>套数（套）</v>
          </cell>
        </row>
        <row r="641">
          <cell r="N641">
            <v>366</v>
          </cell>
        </row>
        <row r="641">
          <cell r="V641">
            <v>360</v>
          </cell>
          <cell r="W641">
            <v>316</v>
          </cell>
          <cell r="X641">
            <v>360</v>
          </cell>
          <cell r="Y641">
            <v>460</v>
          </cell>
          <cell r="Z641">
            <v>420</v>
          </cell>
          <cell r="AA641">
            <v>374</v>
          </cell>
          <cell r="AB641">
            <v>393</v>
          </cell>
        </row>
        <row r="642">
          <cell r="B642" t="str">
            <v>七星湾TOD项目</v>
          </cell>
        </row>
        <row r="642">
          <cell r="G642" t="str">
            <v>住宅-精装普宅</v>
          </cell>
          <cell r="H642" t="str">
            <v>面积（㎡）</v>
          </cell>
        </row>
        <row r="642">
          <cell r="N642">
            <v>92582.43</v>
          </cell>
        </row>
        <row r="642">
          <cell r="V642">
            <v>50453.94</v>
          </cell>
          <cell r="W642">
            <v>59087.1</v>
          </cell>
          <cell r="X642">
            <v>50484.62</v>
          </cell>
          <cell r="Y642">
            <v>56815.67</v>
          </cell>
          <cell r="Z642">
            <v>58245.69</v>
          </cell>
          <cell r="AA642">
            <v>0</v>
          </cell>
          <cell r="AB642">
            <v>0</v>
          </cell>
        </row>
        <row r="643">
          <cell r="B643" t="str">
            <v>七星湾TOD项目</v>
          </cell>
        </row>
        <row r="643">
          <cell r="G643" t="str">
            <v>住宅-毛坯普宅</v>
          </cell>
          <cell r="H643" t="str">
            <v>面积（㎡）</v>
          </cell>
        </row>
        <row r="643">
          <cell r="N643">
            <v>0</v>
          </cell>
        </row>
        <row r="643"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</row>
        <row r="644">
          <cell r="B644" t="str">
            <v>七星湾TOD项目</v>
          </cell>
        </row>
        <row r="644">
          <cell r="G644" t="str">
            <v>住宅-精装非普宅</v>
          </cell>
          <cell r="H644" t="str">
            <v>面积（㎡）</v>
          </cell>
        </row>
        <row r="644">
          <cell r="N644">
            <v>3103.7</v>
          </cell>
        </row>
        <row r="644">
          <cell r="V644">
            <v>4143.87</v>
          </cell>
          <cell r="W644">
            <v>4254.31</v>
          </cell>
          <cell r="X644">
            <v>6365.68</v>
          </cell>
          <cell r="Y644">
            <v>4459.76</v>
          </cell>
          <cell r="Z644">
            <v>0</v>
          </cell>
          <cell r="AA644">
            <v>0</v>
          </cell>
          <cell r="AB644">
            <v>0</v>
          </cell>
        </row>
        <row r="645">
          <cell r="B645" t="str">
            <v>七星湾TOD项目</v>
          </cell>
        </row>
        <row r="645">
          <cell r="G645" t="str">
            <v>住宅-毛坯非普宅</v>
          </cell>
          <cell r="H645" t="str">
            <v>面积（㎡）</v>
          </cell>
        </row>
        <row r="645">
          <cell r="N645">
            <v>0</v>
          </cell>
        </row>
        <row r="645"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</row>
        <row r="646">
          <cell r="B646" t="str">
            <v>七星湾TOD项目</v>
          </cell>
        </row>
        <row r="646">
          <cell r="G646" t="str">
            <v>住宅-毛坯非普宅</v>
          </cell>
          <cell r="H646" t="str">
            <v>面积（㎡）</v>
          </cell>
        </row>
        <row r="646">
          <cell r="N646">
            <v>0</v>
          </cell>
        </row>
        <row r="646"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</row>
        <row r="647">
          <cell r="B647" t="str">
            <v>七星湾TOD项目</v>
          </cell>
        </row>
        <row r="647">
          <cell r="G647" t="str">
            <v>办公楼</v>
          </cell>
          <cell r="H647" t="str">
            <v>面积（㎡）</v>
          </cell>
        </row>
        <row r="647">
          <cell r="N647">
            <v>0</v>
          </cell>
        </row>
        <row r="647"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</row>
        <row r="648">
          <cell r="B648" t="str">
            <v>七星湾TOD项目</v>
          </cell>
        </row>
        <row r="648">
          <cell r="G648" t="str">
            <v>商业</v>
          </cell>
          <cell r="H648" t="str">
            <v>面积（㎡）</v>
          </cell>
        </row>
        <row r="648">
          <cell r="N648">
            <v>0</v>
          </cell>
        </row>
        <row r="648"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8048.67</v>
          </cell>
        </row>
        <row r="649">
          <cell r="B649" t="str">
            <v>七星湾TOD项目</v>
          </cell>
        </row>
        <row r="649">
          <cell r="G649" t="str">
            <v>车位</v>
          </cell>
          <cell r="H649" t="str">
            <v>面积（㎡）</v>
          </cell>
        </row>
        <row r="649">
          <cell r="N649">
            <v>11232.84</v>
          </cell>
        </row>
        <row r="649">
          <cell r="V649">
            <v>12095.4</v>
          </cell>
          <cell r="W649">
            <v>10215.07</v>
          </cell>
          <cell r="X649">
            <v>12242.28</v>
          </cell>
          <cell r="Y649">
            <v>16461.34</v>
          </cell>
          <cell r="Z649">
            <v>15236.4</v>
          </cell>
          <cell r="AA649">
            <v>14240.24</v>
          </cell>
          <cell r="AB649">
            <v>16255.91</v>
          </cell>
        </row>
        <row r="650">
          <cell r="B650" t="str">
            <v>七星湾TOD项目</v>
          </cell>
        </row>
        <row r="650">
          <cell r="G650" t="str">
            <v>住宅-精装普宅</v>
          </cell>
          <cell r="H650" t="str">
            <v>签约(元）</v>
          </cell>
        </row>
        <row r="650">
          <cell r="N650">
            <v>2384435116</v>
          </cell>
        </row>
        <row r="650">
          <cell r="V650">
            <v>1173625829</v>
          </cell>
          <cell r="W650">
            <v>1215858279</v>
          </cell>
          <cell r="X650">
            <v>1119064823</v>
          </cell>
          <cell r="Y650">
            <v>1176288302</v>
          </cell>
          <cell r="Z650">
            <v>1281405180</v>
          </cell>
          <cell r="AA650">
            <v>0</v>
          </cell>
          <cell r="AB650">
            <v>0</v>
          </cell>
        </row>
        <row r="651">
          <cell r="B651" t="str">
            <v>七星湾TOD项目</v>
          </cell>
        </row>
        <row r="651">
          <cell r="G651" t="str">
            <v>住宅-毛坯普宅</v>
          </cell>
          <cell r="H651" t="str">
            <v>签约(元）</v>
          </cell>
        </row>
        <row r="651">
          <cell r="N651">
            <v>0</v>
          </cell>
        </row>
        <row r="651"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</row>
        <row r="652">
          <cell r="B652" t="str">
            <v>七星湾TOD项目</v>
          </cell>
        </row>
        <row r="652">
          <cell r="G652" t="str">
            <v>住宅-精装非普宅</v>
          </cell>
          <cell r="H652" t="str">
            <v>签约(元）</v>
          </cell>
        </row>
        <row r="652">
          <cell r="N652">
            <v>82539828</v>
          </cell>
        </row>
        <row r="652">
          <cell r="V652">
            <v>101804789</v>
          </cell>
          <cell r="W652">
            <v>94687343</v>
          </cell>
          <cell r="X652">
            <v>140800000</v>
          </cell>
          <cell r="Y652">
            <v>97642044</v>
          </cell>
          <cell r="Z652">
            <v>0</v>
          </cell>
          <cell r="AA652">
            <v>0</v>
          </cell>
          <cell r="AB652">
            <v>0</v>
          </cell>
        </row>
        <row r="653">
          <cell r="B653" t="str">
            <v>七星湾TOD项目</v>
          </cell>
        </row>
        <row r="653">
          <cell r="G653" t="str">
            <v>住宅-毛坯非普宅</v>
          </cell>
          <cell r="H653" t="str">
            <v>签约(元）</v>
          </cell>
        </row>
        <row r="653">
          <cell r="N653">
            <v>0</v>
          </cell>
        </row>
        <row r="653"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</row>
        <row r="654">
          <cell r="B654" t="str">
            <v>七星湾TOD项目</v>
          </cell>
        </row>
        <row r="654">
          <cell r="G654" t="str">
            <v>住宅-毛坯非普宅</v>
          </cell>
          <cell r="H654" t="str">
            <v>签约(元）</v>
          </cell>
        </row>
        <row r="654">
          <cell r="N654">
            <v>0</v>
          </cell>
        </row>
        <row r="654"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</row>
        <row r="655">
          <cell r="B655" t="str">
            <v>七星湾TOD项目</v>
          </cell>
        </row>
        <row r="655">
          <cell r="G655" t="str">
            <v>办公楼</v>
          </cell>
          <cell r="H655" t="str">
            <v>签约(元）</v>
          </cell>
        </row>
        <row r="655">
          <cell r="N655">
            <v>0</v>
          </cell>
        </row>
        <row r="655"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</row>
        <row r="656">
          <cell r="B656" t="str">
            <v>七星湾TOD项目</v>
          </cell>
        </row>
        <row r="656">
          <cell r="G656" t="str">
            <v>商业</v>
          </cell>
          <cell r="H656" t="str">
            <v>签约(元）</v>
          </cell>
        </row>
        <row r="656">
          <cell r="N656">
            <v>0</v>
          </cell>
        </row>
        <row r="656"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205526329.5</v>
          </cell>
        </row>
        <row r="657">
          <cell r="B657" t="str">
            <v>七星湾TOD项目</v>
          </cell>
        </row>
        <row r="657">
          <cell r="G657" t="str">
            <v>车位</v>
          </cell>
          <cell r="H657" t="str">
            <v>签约(元）</v>
          </cell>
        </row>
        <row r="657">
          <cell r="N657">
            <v>57250000</v>
          </cell>
        </row>
        <row r="657">
          <cell r="V657">
            <v>31281000</v>
          </cell>
          <cell r="W657">
            <v>29937473</v>
          </cell>
          <cell r="X657">
            <v>33960666</v>
          </cell>
          <cell r="Y657">
            <v>33649740</v>
          </cell>
          <cell r="Z657">
            <v>31854110</v>
          </cell>
          <cell r="AA657">
            <v>33105506</v>
          </cell>
          <cell r="AB657">
            <v>37339505</v>
          </cell>
        </row>
        <row r="658">
          <cell r="B658" t="str">
            <v>七星湾TOD项目</v>
          </cell>
        </row>
        <row r="658">
          <cell r="G658" t="str">
            <v>住宅-精装普宅</v>
          </cell>
          <cell r="H658" t="str">
            <v>回款含税(元）</v>
          </cell>
        </row>
        <row r="658">
          <cell r="N658">
            <v>2009074072.5</v>
          </cell>
        </row>
        <row r="658">
          <cell r="V658">
            <v>1426255510</v>
          </cell>
          <cell r="W658">
            <v>1241718476.5</v>
          </cell>
          <cell r="X658">
            <v>1083119293</v>
          </cell>
          <cell r="Y658">
            <v>1167017700</v>
          </cell>
          <cell r="Z658">
            <v>1241885224</v>
          </cell>
          <cell r="AA658">
            <v>181607253</v>
          </cell>
          <cell r="AB658">
            <v>0</v>
          </cell>
        </row>
        <row r="659">
          <cell r="B659" t="str">
            <v>七星湾TOD项目</v>
          </cell>
        </row>
        <row r="659">
          <cell r="G659" t="str">
            <v>住宅-毛坯普宅</v>
          </cell>
          <cell r="H659" t="str">
            <v>回款含税(元）</v>
          </cell>
        </row>
        <row r="659">
          <cell r="N659">
            <v>0</v>
          </cell>
        </row>
        <row r="659"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</row>
        <row r="660">
          <cell r="B660" t="str">
            <v>七星湾TOD项目</v>
          </cell>
        </row>
        <row r="660">
          <cell r="G660" t="str">
            <v>住宅-精装非普宅</v>
          </cell>
          <cell r="H660" t="str">
            <v>回款含税(元）</v>
          </cell>
        </row>
        <row r="660">
          <cell r="N660">
            <v>52969828</v>
          </cell>
        </row>
        <row r="660">
          <cell r="V660">
            <v>114794789</v>
          </cell>
          <cell r="W660">
            <v>98527925</v>
          </cell>
          <cell r="X660">
            <v>138400000</v>
          </cell>
          <cell r="Y660">
            <v>112781462</v>
          </cell>
          <cell r="Z660">
            <v>0</v>
          </cell>
          <cell r="AA660">
            <v>0</v>
          </cell>
          <cell r="AB660">
            <v>0</v>
          </cell>
        </row>
        <row r="661">
          <cell r="B661" t="str">
            <v>七星湾TOD项目</v>
          </cell>
        </row>
        <row r="661">
          <cell r="G661" t="str">
            <v>住宅-毛坯非普宅</v>
          </cell>
          <cell r="H661" t="str">
            <v>回款含税(元）</v>
          </cell>
        </row>
        <row r="661">
          <cell r="N661">
            <v>0</v>
          </cell>
        </row>
        <row r="661"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</row>
        <row r="662">
          <cell r="B662" t="str">
            <v>七星湾TOD项目</v>
          </cell>
        </row>
        <row r="662">
          <cell r="G662" t="str">
            <v>住宅-毛坯非普宅</v>
          </cell>
          <cell r="H662" t="str">
            <v>回款含税(元）</v>
          </cell>
        </row>
        <row r="662">
          <cell r="N662">
            <v>0</v>
          </cell>
        </row>
        <row r="662"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</row>
        <row r="663">
          <cell r="B663" t="str">
            <v>七星湾TOD项目</v>
          </cell>
        </row>
        <row r="663">
          <cell r="G663" t="str">
            <v>办公楼</v>
          </cell>
          <cell r="H663" t="str">
            <v>回款含税(元）</v>
          </cell>
        </row>
        <row r="663">
          <cell r="N663">
            <v>0</v>
          </cell>
        </row>
        <row r="663"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</row>
        <row r="664">
          <cell r="B664" t="str">
            <v>七星湾TOD项目</v>
          </cell>
        </row>
        <row r="664">
          <cell r="G664" t="str">
            <v>商业</v>
          </cell>
          <cell r="H664" t="str">
            <v>回款含税(元）</v>
          </cell>
        </row>
        <row r="664">
          <cell r="N664">
            <v>0</v>
          </cell>
        </row>
        <row r="664"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205526329.5</v>
          </cell>
        </row>
        <row r="665">
          <cell r="B665" t="str">
            <v>七星湾TOD项目</v>
          </cell>
        </row>
        <row r="665">
          <cell r="G665" t="str">
            <v>车位</v>
          </cell>
          <cell r="H665" t="str">
            <v>回款含税(元）</v>
          </cell>
        </row>
        <row r="665">
          <cell r="N665">
            <v>53874000</v>
          </cell>
        </row>
        <row r="665">
          <cell r="V665">
            <v>34041000</v>
          </cell>
          <cell r="W665">
            <v>28786365</v>
          </cell>
          <cell r="X665">
            <v>32477774</v>
          </cell>
          <cell r="Y665">
            <v>33000000</v>
          </cell>
          <cell r="Z665">
            <v>47998891</v>
          </cell>
          <cell r="AA665">
            <v>16222198</v>
          </cell>
          <cell r="AB665">
            <v>41977772</v>
          </cell>
        </row>
        <row r="666">
          <cell r="B666" t="str">
            <v>七星湾TOD项目</v>
          </cell>
        </row>
        <row r="666">
          <cell r="G666" t="str">
            <v>住宅-精装普宅</v>
          </cell>
          <cell r="H666" t="str">
            <v>回款含税(元）（非贷款类回款）</v>
          </cell>
        </row>
        <row r="666">
          <cell r="N666">
            <v>1187852586.5</v>
          </cell>
        </row>
        <row r="666">
          <cell r="V666">
            <v>649164510</v>
          </cell>
          <cell r="W666">
            <v>609610962.5</v>
          </cell>
          <cell r="X666">
            <v>584229293</v>
          </cell>
          <cell r="Y666">
            <v>555857700</v>
          </cell>
          <cell r="Z666">
            <v>622441224</v>
          </cell>
          <cell r="AA666">
            <v>1021253</v>
          </cell>
          <cell r="AB666">
            <v>0</v>
          </cell>
        </row>
        <row r="667">
          <cell r="B667" t="str">
            <v>七星湾TOD项目</v>
          </cell>
        </row>
        <row r="667">
          <cell r="G667" t="str">
            <v>住宅-毛坯普宅</v>
          </cell>
          <cell r="H667" t="str">
            <v>回款含税(元）（非贷款类回款）</v>
          </cell>
        </row>
        <row r="667">
          <cell r="N667">
            <v>0</v>
          </cell>
        </row>
        <row r="667"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</row>
        <row r="668">
          <cell r="B668" t="str">
            <v>七星湾TOD项目</v>
          </cell>
        </row>
        <row r="668">
          <cell r="G668" t="str">
            <v>住宅-精装非普宅</v>
          </cell>
          <cell r="H668" t="str">
            <v>回款含税(元）（非贷款类回款）</v>
          </cell>
        </row>
        <row r="668">
          <cell r="N668">
            <v>50509828</v>
          </cell>
        </row>
        <row r="668">
          <cell r="V668">
            <v>77774789</v>
          </cell>
          <cell r="W668">
            <v>49267925</v>
          </cell>
          <cell r="X668">
            <v>62400000</v>
          </cell>
          <cell r="Y668">
            <v>58111462</v>
          </cell>
          <cell r="Z668">
            <v>0</v>
          </cell>
          <cell r="AA668">
            <v>0</v>
          </cell>
          <cell r="AB668">
            <v>0</v>
          </cell>
        </row>
        <row r="669">
          <cell r="B669" t="str">
            <v>七星湾TOD项目</v>
          </cell>
        </row>
        <row r="669">
          <cell r="G669" t="str">
            <v>住宅-毛坯非普宅</v>
          </cell>
          <cell r="H669" t="str">
            <v>回款含税(元）（非贷款类回款）</v>
          </cell>
        </row>
        <row r="669">
          <cell r="N669">
            <v>0</v>
          </cell>
        </row>
        <row r="669"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B670" t="str">
            <v>七星湾TOD项目</v>
          </cell>
        </row>
        <row r="670">
          <cell r="G670" t="str">
            <v>住宅-毛坯非普宅</v>
          </cell>
          <cell r="H670" t="str">
            <v>回款含税(元）（非贷款类回款）</v>
          </cell>
        </row>
        <row r="670">
          <cell r="N670">
            <v>0</v>
          </cell>
        </row>
        <row r="670"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B671" t="str">
            <v>七星湾TOD项目</v>
          </cell>
        </row>
        <row r="671">
          <cell r="G671" t="str">
            <v>办公楼</v>
          </cell>
          <cell r="H671" t="str">
            <v>回款含税(元）（非贷款类回款）</v>
          </cell>
        </row>
        <row r="671">
          <cell r="N671">
            <v>0</v>
          </cell>
        </row>
        <row r="671"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B672" t="str">
            <v>七星湾TOD项目</v>
          </cell>
        </row>
        <row r="672">
          <cell r="G672" t="str">
            <v>商业</v>
          </cell>
          <cell r="H672" t="str">
            <v>回款含税(元）（非贷款类回款）</v>
          </cell>
        </row>
        <row r="672">
          <cell r="N672">
            <v>0</v>
          </cell>
        </row>
        <row r="672"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102766329.5</v>
          </cell>
        </row>
        <row r="673">
          <cell r="B673" t="str">
            <v>七星湾TOD项目</v>
          </cell>
        </row>
        <row r="673">
          <cell r="G673" t="str">
            <v>车位</v>
          </cell>
          <cell r="H673" t="str">
            <v>回款含税(元）（非贷款类回款）</v>
          </cell>
        </row>
        <row r="673">
          <cell r="N673">
            <v>43591000</v>
          </cell>
        </row>
        <row r="673">
          <cell r="V673">
            <v>30307000</v>
          </cell>
          <cell r="W673">
            <v>11499365</v>
          </cell>
          <cell r="X673">
            <v>17961204.5</v>
          </cell>
          <cell r="Y673">
            <v>17000000</v>
          </cell>
          <cell r="Z673">
            <v>23874460.5</v>
          </cell>
          <cell r="AA673">
            <v>8092198</v>
          </cell>
          <cell r="AB673">
            <v>19007772</v>
          </cell>
        </row>
        <row r="674">
          <cell r="B674" t="str">
            <v>七星湾TOD项目</v>
          </cell>
        </row>
        <row r="674">
          <cell r="G674" t="str">
            <v>住宅-精装普宅</v>
          </cell>
          <cell r="H674" t="str">
            <v>回款含税(元）（贷款类回款）</v>
          </cell>
        </row>
        <row r="674">
          <cell r="N674">
            <v>821221486</v>
          </cell>
        </row>
        <row r="674">
          <cell r="V674">
            <v>777091000</v>
          </cell>
          <cell r="W674">
            <v>632107514</v>
          </cell>
          <cell r="X674">
            <v>498890000</v>
          </cell>
          <cell r="Y674">
            <v>611160000</v>
          </cell>
          <cell r="Z674">
            <v>619444000</v>
          </cell>
          <cell r="AA674">
            <v>180586000</v>
          </cell>
          <cell r="AB674">
            <v>0</v>
          </cell>
        </row>
        <row r="675">
          <cell r="B675" t="str">
            <v>七星湾TOD项目</v>
          </cell>
        </row>
        <row r="675">
          <cell r="G675" t="str">
            <v>住宅-毛坯普宅</v>
          </cell>
          <cell r="H675" t="str">
            <v>回款含税(元）（贷款类回款）</v>
          </cell>
        </row>
        <row r="675">
          <cell r="N675">
            <v>0</v>
          </cell>
        </row>
        <row r="675"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B676" t="str">
            <v>七星湾TOD项目</v>
          </cell>
        </row>
        <row r="676">
          <cell r="G676" t="str">
            <v>住宅-精装非普宅</v>
          </cell>
          <cell r="H676" t="str">
            <v>回款含税(元）（贷款类回款）</v>
          </cell>
        </row>
        <row r="676">
          <cell r="N676">
            <v>2460000</v>
          </cell>
        </row>
        <row r="676">
          <cell r="V676">
            <v>37020000</v>
          </cell>
          <cell r="W676">
            <v>49260000</v>
          </cell>
          <cell r="X676">
            <v>76000000</v>
          </cell>
          <cell r="Y676">
            <v>54670000</v>
          </cell>
          <cell r="Z676">
            <v>0</v>
          </cell>
          <cell r="AA676">
            <v>0</v>
          </cell>
          <cell r="AB676">
            <v>0</v>
          </cell>
        </row>
        <row r="677">
          <cell r="B677" t="str">
            <v>七星湾TOD项目</v>
          </cell>
        </row>
        <row r="677">
          <cell r="G677" t="str">
            <v>住宅-毛坯非普宅</v>
          </cell>
          <cell r="H677" t="str">
            <v>回款含税(元）（贷款类回款）</v>
          </cell>
        </row>
        <row r="677">
          <cell r="N677">
            <v>0</v>
          </cell>
        </row>
        <row r="677"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B678" t="str">
            <v>七星湾TOD项目</v>
          </cell>
        </row>
        <row r="678">
          <cell r="G678" t="str">
            <v>住宅-毛坯非普宅</v>
          </cell>
          <cell r="H678" t="str">
            <v>回款含税(元）（贷款类回款）</v>
          </cell>
        </row>
        <row r="678">
          <cell r="N678">
            <v>0</v>
          </cell>
        </row>
        <row r="678"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B679" t="str">
            <v>七星湾TOD项目</v>
          </cell>
        </row>
        <row r="679">
          <cell r="G679" t="str">
            <v>办公楼</v>
          </cell>
          <cell r="H679" t="str">
            <v>回款含税(元）（贷款类回款）</v>
          </cell>
        </row>
        <row r="679">
          <cell r="N679">
            <v>0</v>
          </cell>
        </row>
        <row r="679"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B680" t="str">
            <v>七星湾TOD项目</v>
          </cell>
        </row>
        <row r="680">
          <cell r="G680" t="str">
            <v>商业</v>
          </cell>
          <cell r="H680" t="str">
            <v>回款含税(元）（贷款类回款）</v>
          </cell>
        </row>
        <row r="680">
          <cell r="N680">
            <v>0</v>
          </cell>
        </row>
        <row r="680"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102760000</v>
          </cell>
        </row>
        <row r="681">
          <cell r="B681" t="str">
            <v>七星湾TOD项目</v>
          </cell>
        </row>
        <row r="681">
          <cell r="G681" t="str">
            <v>车位</v>
          </cell>
          <cell r="H681" t="str">
            <v>回款含税(元）（贷款类回款）</v>
          </cell>
        </row>
        <row r="681">
          <cell r="N681">
            <v>10283000</v>
          </cell>
        </row>
        <row r="681">
          <cell r="V681">
            <v>3734000</v>
          </cell>
          <cell r="W681">
            <v>17287000</v>
          </cell>
          <cell r="X681">
            <v>14516569.5</v>
          </cell>
          <cell r="Y681">
            <v>16000000</v>
          </cell>
          <cell r="Z681">
            <v>24124430.5</v>
          </cell>
          <cell r="AA681">
            <v>8130000</v>
          </cell>
          <cell r="AB681">
            <v>22970000</v>
          </cell>
        </row>
        <row r="682">
          <cell r="B682" t="str">
            <v>七星湾TOD项目A5地块</v>
          </cell>
        </row>
        <row r="682">
          <cell r="G682" t="str">
            <v>住宅-精装普宅</v>
          </cell>
          <cell r="H682" t="str">
            <v>套数（套）</v>
          </cell>
        </row>
        <row r="682">
          <cell r="N682">
            <v>585</v>
          </cell>
        </row>
        <row r="682">
          <cell r="V682">
            <v>145</v>
          </cell>
          <cell r="W682">
            <v>50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B683" t="str">
            <v>七星湾TOD项目A5地块</v>
          </cell>
        </row>
        <row r="683">
          <cell r="G683" t="str">
            <v>住宅-毛坯普宅</v>
          </cell>
          <cell r="H683" t="str">
            <v>套数（套）</v>
          </cell>
        </row>
        <row r="683"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B684" t="str">
            <v>七星湾TOD项目A5地块</v>
          </cell>
        </row>
        <row r="684">
          <cell r="G684" t="str">
            <v>住宅-精装非普宅</v>
          </cell>
          <cell r="H684" t="str">
            <v>套数（套）</v>
          </cell>
        </row>
        <row r="684">
          <cell r="N684">
            <v>16</v>
          </cell>
        </row>
        <row r="684">
          <cell r="V684">
            <v>21</v>
          </cell>
          <cell r="W684">
            <v>7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B685" t="str">
            <v>七星湾TOD项目A5地块</v>
          </cell>
        </row>
        <row r="685">
          <cell r="G685" t="str">
            <v>住宅-毛坯非普宅</v>
          </cell>
          <cell r="H685" t="str">
            <v>套数（套）</v>
          </cell>
        </row>
        <row r="685"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B686" t="str">
            <v>七星湾TOD项目A5地块</v>
          </cell>
        </row>
        <row r="686">
          <cell r="G686" t="str">
            <v>住宅-毛坯非普宅</v>
          </cell>
          <cell r="H686" t="str">
            <v>套数（套）</v>
          </cell>
        </row>
        <row r="686"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</row>
        <row r="687">
          <cell r="B687" t="str">
            <v>七星湾TOD项目A5地块</v>
          </cell>
        </row>
        <row r="687">
          <cell r="G687" t="str">
            <v>办公楼</v>
          </cell>
          <cell r="H687" t="str">
            <v>套数（套）</v>
          </cell>
        </row>
        <row r="687"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B688" t="str">
            <v>七星湾TOD项目A5地块</v>
          </cell>
        </row>
        <row r="688">
          <cell r="G688" t="str">
            <v>商业</v>
          </cell>
          <cell r="H688" t="str">
            <v>套数（套）</v>
          </cell>
        </row>
        <row r="688">
          <cell r="N688">
            <v>0</v>
          </cell>
        </row>
        <row r="688"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23</v>
          </cell>
        </row>
        <row r="689">
          <cell r="B689" t="str">
            <v>七星湾TOD项目A5地块</v>
          </cell>
        </row>
        <row r="689">
          <cell r="G689" t="str">
            <v>车位</v>
          </cell>
          <cell r="H689" t="str">
            <v>套数（套）</v>
          </cell>
        </row>
        <row r="689">
          <cell r="N689">
            <v>297</v>
          </cell>
        </row>
        <row r="689">
          <cell r="V689">
            <v>75</v>
          </cell>
          <cell r="W689">
            <v>147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B690" t="str">
            <v>七星湾TOD项目A5地块</v>
          </cell>
        </row>
        <row r="690">
          <cell r="G690" t="str">
            <v>住宅-精装普宅</v>
          </cell>
          <cell r="H690" t="str">
            <v>面积（㎡）</v>
          </cell>
        </row>
        <row r="690">
          <cell r="N690">
            <v>54759.96</v>
          </cell>
        </row>
        <row r="690">
          <cell r="V690">
            <v>14484.31</v>
          </cell>
          <cell r="W690">
            <v>5687.15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B691" t="str">
            <v>七星湾TOD项目A5地块</v>
          </cell>
        </row>
        <row r="691">
          <cell r="G691" t="str">
            <v>住宅-毛坯普宅</v>
          </cell>
          <cell r="H691" t="str">
            <v>面积（㎡）</v>
          </cell>
        </row>
        <row r="691"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B692" t="str">
            <v>七星湾TOD项目A5地块</v>
          </cell>
        </row>
        <row r="692">
          <cell r="G692" t="str">
            <v>住宅-精装非普宅</v>
          </cell>
          <cell r="H692" t="str">
            <v>面积（㎡）</v>
          </cell>
        </row>
        <row r="692">
          <cell r="N692">
            <v>3103.7</v>
          </cell>
        </row>
        <row r="692">
          <cell r="V692">
            <v>3986.07</v>
          </cell>
          <cell r="W692">
            <v>1403.99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B693" t="str">
            <v>七星湾TOD项目A5地块</v>
          </cell>
        </row>
        <row r="693">
          <cell r="G693" t="str">
            <v>住宅-毛坯非普宅</v>
          </cell>
          <cell r="H693" t="str">
            <v>面积（㎡）</v>
          </cell>
        </row>
        <row r="693"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B694" t="str">
            <v>七星湾TOD项目A5地块</v>
          </cell>
        </row>
        <row r="694">
          <cell r="G694" t="str">
            <v>住宅-毛坯非普宅</v>
          </cell>
          <cell r="H694" t="str">
            <v>面积（㎡）</v>
          </cell>
        </row>
        <row r="694"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B695" t="str">
            <v>七星湾TOD项目A5地块</v>
          </cell>
        </row>
        <row r="695">
          <cell r="G695" t="str">
            <v>办公楼</v>
          </cell>
          <cell r="H695" t="str">
            <v>面积（㎡）</v>
          </cell>
        </row>
        <row r="695"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B696" t="str">
            <v>七星湾TOD项目A5地块</v>
          </cell>
        </row>
        <row r="696">
          <cell r="G696" t="str">
            <v>商业</v>
          </cell>
          <cell r="H696" t="str">
            <v>面积（㎡）</v>
          </cell>
        </row>
        <row r="696"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1819.93</v>
          </cell>
        </row>
        <row r="697">
          <cell r="B697" t="str">
            <v>七星湾TOD项目A5地块</v>
          </cell>
        </row>
        <row r="697">
          <cell r="G697" t="str">
            <v>车位</v>
          </cell>
          <cell r="H697" t="str">
            <v>面积（㎡）</v>
          </cell>
        </row>
        <row r="697">
          <cell r="N697">
            <v>8933.07</v>
          </cell>
        </row>
        <row r="697">
          <cell r="V697">
            <v>2242.7</v>
          </cell>
          <cell r="W697">
            <v>4381.78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B698" t="str">
            <v>七星湾TOD项目A5地块</v>
          </cell>
        </row>
        <row r="698">
          <cell r="G698" t="str">
            <v>住宅-精装普宅</v>
          </cell>
          <cell r="H698" t="str">
            <v>签约(元）</v>
          </cell>
        </row>
        <row r="698">
          <cell r="N698">
            <v>1482009094</v>
          </cell>
        </row>
        <row r="698">
          <cell r="V698">
            <v>355036255</v>
          </cell>
          <cell r="W698">
            <v>122887265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B699" t="str">
            <v>七星湾TOD项目A5地块</v>
          </cell>
        </row>
        <row r="699">
          <cell r="G699" t="str">
            <v>住宅-毛坯普宅</v>
          </cell>
          <cell r="H699" t="str">
            <v>签约(元）</v>
          </cell>
        </row>
        <row r="699"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B700" t="str">
            <v>七星湾TOD项目A5地块</v>
          </cell>
        </row>
        <row r="700">
          <cell r="G700" t="str">
            <v>住宅-精装非普宅</v>
          </cell>
          <cell r="H700" t="str">
            <v>签约(元）</v>
          </cell>
        </row>
        <row r="700">
          <cell r="N700">
            <v>82539828</v>
          </cell>
        </row>
        <row r="700">
          <cell r="V700">
            <v>98115740</v>
          </cell>
          <cell r="W700">
            <v>30468506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</row>
        <row r="701">
          <cell r="B701" t="str">
            <v>七星湾TOD项目A5地块</v>
          </cell>
        </row>
        <row r="701">
          <cell r="G701" t="str">
            <v>住宅-毛坯非普宅</v>
          </cell>
          <cell r="H701" t="str">
            <v>签约(元）</v>
          </cell>
        </row>
        <row r="701"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B702" t="str">
            <v>七星湾TOD项目A5地块</v>
          </cell>
        </row>
        <row r="702">
          <cell r="G702" t="str">
            <v>住宅-毛坯非普宅</v>
          </cell>
          <cell r="H702" t="str">
            <v>签约(元）</v>
          </cell>
        </row>
        <row r="702"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B703" t="str">
            <v>七星湾TOD项目A5地块</v>
          </cell>
        </row>
        <row r="703">
          <cell r="G703" t="str">
            <v>办公楼</v>
          </cell>
          <cell r="H703" t="str">
            <v>签约(元）</v>
          </cell>
        </row>
        <row r="703"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B704" t="str">
            <v>七星湾TOD项目A5地块</v>
          </cell>
        </row>
        <row r="704">
          <cell r="G704" t="str">
            <v>商业</v>
          </cell>
          <cell r="H704" t="str">
            <v>签约(元）</v>
          </cell>
        </row>
        <row r="704"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44861276</v>
          </cell>
        </row>
        <row r="705">
          <cell r="B705" t="str">
            <v>七星湾TOD项目A5地块</v>
          </cell>
        </row>
        <row r="705">
          <cell r="G705" t="str">
            <v>车位</v>
          </cell>
          <cell r="H705" t="str">
            <v>签约(元）</v>
          </cell>
        </row>
        <row r="705">
          <cell r="N705">
            <v>47700000</v>
          </cell>
        </row>
        <row r="705">
          <cell r="V705">
            <v>11376000</v>
          </cell>
          <cell r="W705">
            <v>16436000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B706" t="str">
            <v>七星湾TOD项目A5地块</v>
          </cell>
        </row>
        <row r="706">
          <cell r="G706" t="str">
            <v>住宅-精装普宅</v>
          </cell>
          <cell r="H706" t="str">
            <v>回款含税(元）</v>
          </cell>
        </row>
        <row r="706">
          <cell r="N706">
            <v>1265728443</v>
          </cell>
        </row>
        <row r="706">
          <cell r="V706">
            <v>548070311</v>
          </cell>
          <cell r="W706">
            <v>146133860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B707" t="str">
            <v>七星湾TOD项目A5地块</v>
          </cell>
        </row>
        <row r="707">
          <cell r="G707" t="str">
            <v>住宅-毛坯普宅</v>
          </cell>
          <cell r="H707" t="str">
            <v>回款含税(元）</v>
          </cell>
        </row>
        <row r="707">
          <cell r="N707">
            <v>0</v>
          </cell>
        </row>
        <row r="707"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B708" t="str">
            <v>七星湾TOD项目A5地块</v>
          </cell>
        </row>
        <row r="708">
          <cell r="G708" t="str">
            <v>住宅-精装非普宅</v>
          </cell>
          <cell r="H708" t="str">
            <v>回款含税(元）</v>
          </cell>
        </row>
        <row r="708">
          <cell r="N708">
            <v>52969828</v>
          </cell>
        </row>
        <row r="708">
          <cell r="V708">
            <v>114235740</v>
          </cell>
          <cell r="W708">
            <v>43918506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B709" t="str">
            <v>七星湾TOD项目A5地块</v>
          </cell>
        </row>
        <row r="709">
          <cell r="G709" t="str">
            <v>住宅-毛坯非普宅</v>
          </cell>
          <cell r="H709" t="str">
            <v>回款含税(元）</v>
          </cell>
        </row>
        <row r="709">
          <cell r="N709">
            <v>0</v>
          </cell>
        </row>
        <row r="709"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B710" t="str">
            <v>七星湾TOD项目A5地块</v>
          </cell>
        </row>
        <row r="710">
          <cell r="G710" t="str">
            <v>住宅-毛坯非普宅</v>
          </cell>
          <cell r="H710" t="str">
            <v>回款含税(元）</v>
          </cell>
        </row>
        <row r="710">
          <cell r="N710">
            <v>0</v>
          </cell>
        </row>
        <row r="710"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B711" t="str">
            <v>七星湾TOD项目A5地块</v>
          </cell>
        </row>
        <row r="711">
          <cell r="G711" t="str">
            <v>办公楼</v>
          </cell>
          <cell r="H711" t="str">
            <v>回款含税(元）</v>
          </cell>
        </row>
        <row r="711">
          <cell r="N711">
            <v>0</v>
          </cell>
        </row>
        <row r="711"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</row>
        <row r="712">
          <cell r="B712" t="str">
            <v>七星湾TOD项目A5地块</v>
          </cell>
        </row>
        <row r="712">
          <cell r="G712" t="str">
            <v>商业</v>
          </cell>
          <cell r="H712" t="str">
            <v>回款含税(元）</v>
          </cell>
        </row>
        <row r="712">
          <cell r="N712">
            <v>0</v>
          </cell>
        </row>
        <row r="712"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44861276</v>
          </cell>
        </row>
        <row r="713">
          <cell r="B713" t="str">
            <v>七星湾TOD项目A5地块</v>
          </cell>
        </row>
        <row r="713">
          <cell r="G713" t="str">
            <v>车位</v>
          </cell>
          <cell r="H713" t="str">
            <v>回款含税(元）</v>
          </cell>
        </row>
        <row r="713">
          <cell r="N713">
            <v>44664000</v>
          </cell>
        </row>
        <row r="713">
          <cell r="V713">
            <v>13796000</v>
          </cell>
          <cell r="W713">
            <v>17052000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B714" t="str">
            <v>七星湾TOD项目A5地块</v>
          </cell>
        </row>
        <row r="714">
          <cell r="G714" t="str">
            <v>住宅-精装普宅</v>
          </cell>
          <cell r="H714" t="str">
            <v>回款含税(元）（非贷款类回款）</v>
          </cell>
        </row>
        <row r="714">
          <cell r="N714">
            <v>661780957</v>
          </cell>
        </row>
        <row r="714">
          <cell r="V714">
            <v>195850311</v>
          </cell>
          <cell r="W714">
            <v>72011346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</row>
        <row r="715">
          <cell r="B715" t="str">
            <v>七星湾TOD项目A5地块</v>
          </cell>
        </row>
        <row r="715">
          <cell r="G715" t="str">
            <v>住宅-毛坯普宅</v>
          </cell>
          <cell r="H715" t="str">
            <v>回款含税(元）（非贷款类回款）</v>
          </cell>
        </row>
        <row r="715"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</row>
        <row r="716">
          <cell r="B716" t="str">
            <v>七星湾TOD项目A5地块</v>
          </cell>
        </row>
        <row r="716">
          <cell r="G716" t="str">
            <v>住宅-精装非普宅</v>
          </cell>
          <cell r="H716" t="str">
            <v>回款含税(元）（非贷款类回款）</v>
          </cell>
        </row>
        <row r="716">
          <cell r="N716">
            <v>50509828</v>
          </cell>
        </row>
        <row r="716">
          <cell r="V716">
            <v>77215740</v>
          </cell>
          <cell r="W716">
            <v>17158506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B717" t="str">
            <v>七星湾TOD项目A5地块</v>
          </cell>
        </row>
        <row r="717">
          <cell r="G717" t="str">
            <v>住宅-毛坯非普宅</v>
          </cell>
          <cell r="H717" t="str">
            <v>回款含税(元）（非贷款类回款）</v>
          </cell>
        </row>
        <row r="717"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B718" t="str">
            <v>七星湾TOD项目A5地块</v>
          </cell>
        </row>
        <row r="718">
          <cell r="G718" t="str">
            <v>住宅-毛坯非普宅</v>
          </cell>
          <cell r="H718" t="str">
            <v>回款含税(元）（非贷款类回款）</v>
          </cell>
        </row>
        <row r="718"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B719" t="str">
            <v>七星湾TOD项目A5地块</v>
          </cell>
        </row>
        <row r="719">
          <cell r="G719" t="str">
            <v>办公楼</v>
          </cell>
          <cell r="H719" t="str">
            <v>回款含税(元）（非贷款类回款）</v>
          </cell>
        </row>
        <row r="719"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</row>
        <row r="720">
          <cell r="B720" t="str">
            <v>七星湾TOD项目A5地块</v>
          </cell>
        </row>
        <row r="720">
          <cell r="G720" t="str">
            <v>商业</v>
          </cell>
          <cell r="H720" t="str">
            <v>回款含税(元）（非贷款类回款）</v>
          </cell>
        </row>
        <row r="720"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22431276</v>
          </cell>
        </row>
        <row r="721">
          <cell r="B721" t="str">
            <v>七星湾TOD项目A5地块</v>
          </cell>
        </row>
        <row r="721">
          <cell r="G721" t="str">
            <v>车位</v>
          </cell>
          <cell r="H721" t="str">
            <v>回款含税(元）（非贷款类回款）</v>
          </cell>
        </row>
        <row r="721">
          <cell r="N721">
            <v>35321000</v>
          </cell>
        </row>
        <row r="721">
          <cell r="V721">
            <v>11004000</v>
          </cell>
          <cell r="W721">
            <v>4715000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B722" t="str">
            <v>七星湾TOD项目A5地块</v>
          </cell>
        </row>
        <row r="722">
          <cell r="G722" t="str">
            <v>住宅-精装普宅</v>
          </cell>
          <cell r="H722" t="str">
            <v>回款含税(元）（贷款类回款）</v>
          </cell>
        </row>
        <row r="722">
          <cell r="N722">
            <v>603947486</v>
          </cell>
        </row>
        <row r="722">
          <cell r="V722">
            <v>352220000</v>
          </cell>
          <cell r="W722">
            <v>74122514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B723" t="str">
            <v>七星湾TOD项目A5地块</v>
          </cell>
        </row>
        <row r="723">
          <cell r="G723" t="str">
            <v>住宅-毛坯普宅</v>
          </cell>
          <cell r="H723" t="str">
            <v>回款含税(元）（贷款类回款）</v>
          </cell>
        </row>
        <row r="723"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B724" t="str">
            <v>七星湾TOD项目A5地块</v>
          </cell>
        </row>
        <row r="724">
          <cell r="G724" t="str">
            <v>住宅-精装非普宅</v>
          </cell>
          <cell r="H724" t="str">
            <v>回款含税(元）（贷款类回款）</v>
          </cell>
        </row>
        <row r="724">
          <cell r="N724">
            <v>2460000</v>
          </cell>
        </row>
        <row r="724">
          <cell r="V724">
            <v>37020000</v>
          </cell>
          <cell r="W724">
            <v>26760000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B725" t="str">
            <v>七星湾TOD项目A5地块</v>
          </cell>
        </row>
        <row r="725">
          <cell r="G725" t="str">
            <v>住宅-毛坯非普宅</v>
          </cell>
          <cell r="H725" t="str">
            <v>回款含税(元）（贷款类回款）</v>
          </cell>
        </row>
        <row r="725"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</row>
        <row r="726">
          <cell r="B726" t="str">
            <v>七星湾TOD项目A5地块</v>
          </cell>
        </row>
        <row r="726">
          <cell r="G726" t="str">
            <v>住宅-毛坯非普宅</v>
          </cell>
          <cell r="H726" t="str">
            <v>回款含税(元）（贷款类回款）</v>
          </cell>
        </row>
        <row r="726"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</row>
        <row r="727">
          <cell r="B727" t="str">
            <v>七星湾TOD项目A5地块</v>
          </cell>
        </row>
        <row r="727">
          <cell r="G727" t="str">
            <v>办公楼</v>
          </cell>
          <cell r="H727" t="str">
            <v>回款含税(元）（贷款类回款）</v>
          </cell>
        </row>
        <row r="727"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</row>
        <row r="728">
          <cell r="B728" t="str">
            <v>七星湾TOD项目A5地块</v>
          </cell>
        </row>
        <row r="728">
          <cell r="G728" t="str">
            <v>商业</v>
          </cell>
          <cell r="H728" t="str">
            <v>回款含税(元）（贷款类回款）</v>
          </cell>
        </row>
        <row r="728"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22430000</v>
          </cell>
        </row>
        <row r="729">
          <cell r="B729" t="str">
            <v>七星湾TOD项目A5地块</v>
          </cell>
        </row>
        <row r="729">
          <cell r="G729" t="str">
            <v>车位</v>
          </cell>
          <cell r="H729" t="str">
            <v>回款含税(元）（贷款类回款）</v>
          </cell>
        </row>
        <row r="729">
          <cell r="N729">
            <v>9343000</v>
          </cell>
        </row>
        <row r="729">
          <cell r="V729">
            <v>2792000</v>
          </cell>
          <cell r="W729">
            <v>12337000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</row>
        <row r="730">
          <cell r="B730" t="str">
            <v>七星湾TOD项目A1地块</v>
          </cell>
        </row>
        <row r="730">
          <cell r="G730" t="str">
            <v>住宅-精装普宅</v>
          </cell>
          <cell r="H730" t="str">
            <v>套数（套）</v>
          </cell>
        </row>
        <row r="730">
          <cell r="N730">
            <v>410</v>
          </cell>
        </row>
        <row r="730">
          <cell r="V730">
            <v>366</v>
          </cell>
          <cell r="W730">
            <v>126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</row>
        <row r="731">
          <cell r="B731" t="str">
            <v>七星湾TOD项目A1地块</v>
          </cell>
        </row>
        <row r="731">
          <cell r="G731" t="str">
            <v>住宅-毛坯普宅</v>
          </cell>
          <cell r="H731" t="str">
            <v>套数（套）</v>
          </cell>
        </row>
        <row r="731"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</row>
        <row r="732">
          <cell r="B732" t="str">
            <v>七星湾TOD项目A1地块</v>
          </cell>
        </row>
        <row r="732">
          <cell r="G732" t="str">
            <v>住宅-精装非普宅</v>
          </cell>
          <cell r="H732" t="str">
            <v>套数（套）</v>
          </cell>
        </row>
        <row r="732"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</row>
        <row r="733">
          <cell r="B733" t="str">
            <v>七星湾TOD项目A1地块</v>
          </cell>
        </row>
        <row r="733">
          <cell r="G733" t="str">
            <v>住宅-毛坯非普宅</v>
          </cell>
          <cell r="H733" t="str">
            <v>套数（套）</v>
          </cell>
        </row>
        <row r="733"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</row>
        <row r="734">
          <cell r="B734" t="str">
            <v>七星湾TOD项目A1地块</v>
          </cell>
        </row>
        <row r="734">
          <cell r="G734" t="str">
            <v>住宅-毛坯非普宅</v>
          </cell>
          <cell r="H734" t="str">
            <v>套数（套）</v>
          </cell>
        </row>
        <row r="734"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</row>
        <row r="735">
          <cell r="B735" t="str">
            <v>七星湾TOD项目A1地块</v>
          </cell>
        </row>
        <row r="735">
          <cell r="G735" t="str">
            <v>办公楼</v>
          </cell>
          <cell r="H735" t="str">
            <v>套数（套）</v>
          </cell>
        </row>
        <row r="735"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</row>
        <row r="736">
          <cell r="B736" t="str">
            <v>七星湾TOD项目A1地块</v>
          </cell>
        </row>
        <row r="736">
          <cell r="G736" t="str">
            <v>商业</v>
          </cell>
          <cell r="H736" t="str">
            <v>套数（套）</v>
          </cell>
        </row>
        <row r="736"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5</v>
          </cell>
        </row>
        <row r="737">
          <cell r="B737" t="str">
            <v>七星湾TOD项目A1地块</v>
          </cell>
        </row>
        <row r="737">
          <cell r="G737" t="str">
            <v>车位</v>
          </cell>
          <cell r="H737" t="str">
            <v>套数（套）</v>
          </cell>
        </row>
        <row r="737">
          <cell r="N737">
            <v>69</v>
          </cell>
        </row>
        <row r="737">
          <cell r="V737">
            <v>285</v>
          </cell>
          <cell r="W737">
            <v>133</v>
          </cell>
          <cell r="X737">
            <v>202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</row>
        <row r="738">
          <cell r="B738" t="str">
            <v>七星湾TOD项目A1地块</v>
          </cell>
        </row>
        <row r="738">
          <cell r="G738" t="str">
            <v>住宅-精装普宅</v>
          </cell>
          <cell r="H738" t="str">
            <v>面积（㎡）</v>
          </cell>
        </row>
        <row r="738">
          <cell r="N738">
            <v>37822.47</v>
          </cell>
        </row>
        <row r="738">
          <cell r="V738">
            <v>34115.95</v>
          </cell>
          <cell r="W738">
            <v>15582.85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</row>
        <row r="739">
          <cell r="B739" t="str">
            <v>七星湾TOD项目A1地块</v>
          </cell>
        </row>
        <row r="739">
          <cell r="G739" t="str">
            <v>住宅-毛坯普宅</v>
          </cell>
          <cell r="H739" t="str">
            <v>面积（㎡）</v>
          </cell>
        </row>
        <row r="739"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</row>
        <row r="740">
          <cell r="B740" t="str">
            <v>七星湾TOD项目A1地块</v>
          </cell>
        </row>
        <row r="740">
          <cell r="G740" t="str">
            <v>住宅-精装非普宅</v>
          </cell>
          <cell r="H740" t="str">
            <v>面积（㎡）</v>
          </cell>
        </row>
        <row r="740"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</row>
        <row r="741">
          <cell r="B741" t="str">
            <v>七星湾TOD项目A1地块</v>
          </cell>
        </row>
        <row r="741">
          <cell r="G741" t="str">
            <v>住宅-毛坯非普宅</v>
          </cell>
          <cell r="H741" t="str">
            <v>面积（㎡）</v>
          </cell>
        </row>
        <row r="741"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</row>
        <row r="742">
          <cell r="B742" t="str">
            <v>七星湾TOD项目A1地块</v>
          </cell>
        </row>
        <row r="742">
          <cell r="G742" t="str">
            <v>住宅-毛坯非普宅</v>
          </cell>
          <cell r="H742" t="str">
            <v>面积（㎡）</v>
          </cell>
        </row>
        <row r="742"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</row>
        <row r="743">
          <cell r="B743" t="str">
            <v>七星湾TOD项目A1地块</v>
          </cell>
        </row>
        <row r="743">
          <cell r="G743" t="str">
            <v>办公楼</v>
          </cell>
          <cell r="H743" t="str">
            <v>面积（㎡）</v>
          </cell>
        </row>
        <row r="743"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</row>
        <row r="744">
          <cell r="B744" t="str">
            <v>七星湾TOD项目A1地块</v>
          </cell>
        </row>
        <row r="744">
          <cell r="G744" t="str">
            <v>商业</v>
          </cell>
          <cell r="H744" t="str">
            <v>面积（㎡）</v>
          </cell>
        </row>
        <row r="744"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694.41</v>
          </cell>
        </row>
        <row r="745">
          <cell r="B745" t="str">
            <v>七星湾TOD项目A1地块</v>
          </cell>
        </row>
        <row r="745">
          <cell r="G745" t="str">
            <v>车位</v>
          </cell>
          <cell r="H745" t="str">
            <v>面积（㎡）</v>
          </cell>
        </row>
        <row r="745">
          <cell r="N745">
            <v>2299.77</v>
          </cell>
        </row>
        <row r="745">
          <cell r="V745">
            <v>9852.7</v>
          </cell>
          <cell r="W745">
            <v>4600.77</v>
          </cell>
          <cell r="X745">
            <v>6832.36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</row>
        <row r="746">
          <cell r="B746" t="str">
            <v>七星湾TOD项目A1地块</v>
          </cell>
        </row>
        <row r="746">
          <cell r="G746" t="str">
            <v>住宅-精装普宅</v>
          </cell>
          <cell r="H746" t="str">
            <v>签约(元）</v>
          </cell>
        </row>
        <row r="746">
          <cell r="N746">
            <v>902426022</v>
          </cell>
        </row>
        <row r="746">
          <cell r="V746">
            <v>781577921</v>
          </cell>
          <cell r="W746">
            <v>323506298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</row>
        <row r="747">
          <cell r="B747" t="str">
            <v>七星湾TOD项目A1地块</v>
          </cell>
        </row>
        <row r="747">
          <cell r="G747" t="str">
            <v>住宅-毛坯普宅</v>
          </cell>
          <cell r="H747" t="str">
            <v>签约(元）</v>
          </cell>
        </row>
        <row r="747"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</row>
        <row r="748">
          <cell r="B748" t="str">
            <v>七星湾TOD项目A1地块</v>
          </cell>
        </row>
        <row r="748">
          <cell r="G748" t="str">
            <v>住宅-精装非普宅</v>
          </cell>
          <cell r="H748" t="str">
            <v>签约(元）</v>
          </cell>
        </row>
        <row r="748"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</row>
        <row r="749">
          <cell r="B749" t="str">
            <v>七星湾TOD项目A1地块</v>
          </cell>
        </row>
        <row r="749">
          <cell r="G749" t="str">
            <v>住宅-毛坯非普宅</v>
          </cell>
          <cell r="H749" t="str">
            <v>签约(元）</v>
          </cell>
        </row>
        <row r="749"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</row>
        <row r="750">
          <cell r="B750" t="str">
            <v>七星湾TOD项目A1地块</v>
          </cell>
        </row>
        <row r="750">
          <cell r="G750" t="str">
            <v>住宅-毛坯非普宅</v>
          </cell>
          <cell r="H750" t="str">
            <v>签约(元）</v>
          </cell>
        </row>
        <row r="750"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</row>
        <row r="751">
          <cell r="B751" t="str">
            <v>七星湾TOD项目A1地块</v>
          </cell>
        </row>
        <row r="751">
          <cell r="G751" t="str">
            <v>办公楼</v>
          </cell>
          <cell r="H751" t="str">
            <v>签约(元）</v>
          </cell>
        </row>
        <row r="751"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</row>
        <row r="752">
          <cell r="B752" t="str">
            <v>七星湾TOD项目A1地块</v>
          </cell>
        </row>
        <row r="752">
          <cell r="G752" t="str">
            <v>商业</v>
          </cell>
          <cell r="H752" t="str">
            <v>签约(元）</v>
          </cell>
        </row>
        <row r="752"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16526958</v>
          </cell>
        </row>
        <row r="753">
          <cell r="B753" t="str">
            <v>七星湾TOD项目A1地块</v>
          </cell>
        </row>
        <row r="753">
          <cell r="G753" t="str">
            <v>车位</v>
          </cell>
          <cell r="H753" t="str">
            <v>签约(元）</v>
          </cell>
        </row>
        <row r="753">
          <cell r="N753">
            <v>9550000</v>
          </cell>
        </row>
        <row r="753">
          <cell r="V753">
            <v>19905000</v>
          </cell>
          <cell r="W753">
            <v>9901473</v>
          </cell>
          <cell r="X753">
            <v>9643527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</row>
        <row r="754">
          <cell r="B754" t="str">
            <v>七星湾TOD项目A1地块</v>
          </cell>
        </row>
        <row r="754">
          <cell r="G754" t="str">
            <v>住宅-精装普宅</v>
          </cell>
          <cell r="H754" t="str">
            <v>回款含税(元）</v>
          </cell>
        </row>
        <row r="754">
          <cell r="N754">
            <v>743345629.5</v>
          </cell>
        </row>
        <row r="754">
          <cell r="V754">
            <v>870528655</v>
          </cell>
          <cell r="W754">
            <v>348635956.5</v>
          </cell>
          <cell r="X754">
            <v>45000000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</row>
        <row r="755">
          <cell r="B755" t="str">
            <v>七星湾TOD项目A1地块</v>
          </cell>
        </row>
        <row r="755">
          <cell r="G755" t="str">
            <v>住宅-毛坯普宅</v>
          </cell>
          <cell r="H755" t="str">
            <v>回款含税(元）</v>
          </cell>
        </row>
        <row r="755">
          <cell r="N755">
            <v>0</v>
          </cell>
        </row>
        <row r="755"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</row>
        <row r="756">
          <cell r="B756" t="str">
            <v>七星湾TOD项目A1地块</v>
          </cell>
        </row>
        <row r="756">
          <cell r="G756" t="str">
            <v>住宅-精装非普宅</v>
          </cell>
          <cell r="H756" t="str">
            <v>回款含税(元）</v>
          </cell>
        </row>
        <row r="756">
          <cell r="N756">
            <v>0</v>
          </cell>
        </row>
        <row r="756"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</row>
        <row r="757">
          <cell r="B757" t="str">
            <v>七星湾TOD项目A1地块</v>
          </cell>
        </row>
        <row r="757">
          <cell r="G757" t="str">
            <v>住宅-毛坯非普宅</v>
          </cell>
          <cell r="H757" t="str">
            <v>回款含税(元）</v>
          </cell>
        </row>
        <row r="757">
          <cell r="N757">
            <v>0</v>
          </cell>
        </row>
        <row r="757"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</row>
        <row r="758">
          <cell r="B758" t="str">
            <v>七星湾TOD项目A1地块</v>
          </cell>
        </row>
        <row r="758">
          <cell r="G758" t="str">
            <v>住宅-毛坯非普宅</v>
          </cell>
          <cell r="H758" t="str">
            <v>回款含税(元）</v>
          </cell>
        </row>
        <row r="758">
          <cell r="N758">
            <v>0</v>
          </cell>
        </row>
        <row r="758"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</row>
        <row r="759">
          <cell r="B759" t="str">
            <v>七星湾TOD项目A1地块</v>
          </cell>
        </row>
        <row r="759">
          <cell r="G759" t="str">
            <v>办公楼</v>
          </cell>
          <cell r="H759" t="str">
            <v>回款含税(元）</v>
          </cell>
        </row>
        <row r="759">
          <cell r="N759">
            <v>0</v>
          </cell>
        </row>
        <row r="759"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</row>
        <row r="760">
          <cell r="B760" t="str">
            <v>七星湾TOD项目A1地块</v>
          </cell>
        </row>
        <row r="760">
          <cell r="G760" t="str">
            <v>商业</v>
          </cell>
          <cell r="H760" t="str">
            <v>回款含税(元）</v>
          </cell>
        </row>
        <row r="760">
          <cell r="N760">
            <v>0</v>
          </cell>
        </row>
        <row r="760"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16526958</v>
          </cell>
        </row>
        <row r="761">
          <cell r="B761" t="str">
            <v>七星湾TOD项目A1地块</v>
          </cell>
        </row>
        <row r="761">
          <cell r="G761" t="str">
            <v>车位</v>
          </cell>
          <cell r="H761" t="str">
            <v>回款含税(元）</v>
          </cell>
        </row>
        <row r="761">
          <cell r="N761">
            <v>9210000</v>
          </cell>
        </row>
        <row r="761">
          <cell r="V761">
            <v>20245000</v>
          </cell>
          <cell r="W761">
            <v>8584365</v>
          </cell>
          <cell r="X761">
            <v>10960635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</row>
        <row r="762">
          <cell r="B762" t="str">
            <v>七星湾TOD项目A1地块</v>
          </cell>
        </row>
        <row r="762">
          <cell r="G762" t="str">
            <v>住宅-精装普宅</v>
          </cell>
          <cell r="H762" t="str">
            <v>回款含税(元）（非贷款类回款）</v>
          </cell>
        </row>
        <row r="762">
          <cell r="N762">
            <v>526071629.5</v>
          </cell>
        </row>
        <row r="762">
          <cell r="V762">
            <v>445657655</v>
          </cell>
          <cell r="W762">
            <v>160870956.5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</row>
        <row r="763">
          <cell r="B763" t="str">
            <v>七星湾TOD项目A1地块</v>
          </cell>
        </row>
        <row r="763">
          <cell r="G763" t="str">
            <v>住宅-毛坯普宅</v>
          </cell>
          <cell r="H763" t="str">
            <v>回款含税(元）（非贷款类回款）</v>
          </cell>
        </row>
        <row r="763"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</row>
        <row r="764">
          <cell r="B764" t="str">
            <v>七星湾TOD项目A1地块</v>
          </cell>
        </row>
        <row r="764">
          <cell r="G764" t="str">
            <v>住宅-精装非普宅</v>
          </cell>
          <cell r="H764" t="str">
            <v>回款含税(元）（非贷款类回款）</v>
          </cell>
        </row>
        <row r="764"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</row>
        <row r="765">
          <cell r="B765" t="str">
            <v>七星湾TOD项目A1地块</v>
          </cell>
        </row>
        <row r="765">
          <cell r="G765" t="str">
            <v>住宅-毛坯非普宅</v>
          </cell>
          <cell r="H765" t="str">
            <v>回款含税(元）（非贷款类回款）</v>
          </cell>
        </row>
        <row r="765"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</row>
        <row r="766">
          <cell r="B766" t="str">
            <v>七星湾TOD项目A1地块</v>
          </cell>
        </row>
        <row r="766">
          <cell r="G766" t="str">
            <v>住宅-毛坯非普宅</v>
          </cell>
          <cell r="H766" t="str">
            <v>回款含税(元）（非贷款类回款）</v>
          </cell>
        </row>
        <row r="766"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</row>
        <row r="767">
          <cell r="B767" t="str">
            <v>七星湾TOD项目A1地块</v>
          </cell>
        </row>
        <row r="767">
          <cell r="G767" t="str">
            <v>办公楼</v>
          </cell>
          <cell r="H767" t="str">
            <v>回款含税(元）（非贷款类回款）</v>
          </cell>
        </row>
        <row r="767"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</row>
        <row r="768">
          <cell r="B768" t="str">
            <v>七星湾TOD项目A1地块</v>
          </cell>
        </row>
        <row r="768">
          <cell r="G768" t="str">
            <v>商业</v>
          </cell>
          <cell r="H768" t="str">
            <v>回款含税(元）（非贷款类回款）</v>
          </cell>
        </row>
        <row r="768"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8266958</v>
          </cell>
        </row>
        <row r="769">
          <cell r="B769" t="str">
            <v>七星湾TOD项目A1地块</v>
          </cell>
        </row>
        <row r="769">
          <cell r="G769" t="str">
            <v>车位</v>
          </cell>
          <cell r="H769" t="str">
            <v>回款含税(元）（非贷款类回款）</v>
          </cell>
        </row>
        <row r="769">
          <cell r="N769">
            <v>8270000</v>
          </cell>
        </row>
        <row r="769">
          <cell r="V769">
            <v>19303000</v>
          </cell>
          <cell r="W769">
            <v>4984365</v>
          </cell>
          <cell r="X769">
            <v>5802635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</row>
        <row r="770">
          <cell r="B770" t="str">
            <v>七星湾TOD项目A1地块</v>
          </cell>
        </row>
        <row r="770">
          <cell r="G770" t="str">
            <v>住宅-精装普宅</v>
          </cell>
          <cell r="H770" t="str">
            <v>回款含税(元）（贷款类回款）</v>
          </cell>
        </row>
        <row r="770">
          <cell r="N770">
            <v>217274000</v>
          </cell>
        </row>
        <row r="770">
          <cell r="V770">
            <v>424871000</v>
          </cell>
          <cell r="W770">
            <v>187765000</v>
          </cell>
          <cell r="X770">
            <v>45000000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</row>
        <row r="771">
          <cell r="B771" t="str">
            <v>七星湾TOD项目A1地块</v>
          </cell>
        </row>
        <row r="771">
          <cell r="G771" t="str">
            <v>住宅-毛坯普宅</v>
          </cell>
          <cell r="H771" t="str">
            <v>回款含税(元）（贷款类回款）</v>
          </cell>
        </row>
        <row r="771"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</row>
        <row r="772">
          <cell r="B772" t="str">
            <v>七星湾TOD项目A1地块</v>
          </cell>
        </row>
        <row r="772">
          <cell r="G772" t="str">
            <v>住宅-精装非普宅</v>
          </cell>
          <cell r="H772" t="str">
            <v>回款含税(元）（贷款类回款）</v>
          </cell>
        </row>
        <row r="772"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</row>
        <row r="773">
          <cell r="B773" t="str">
            <v>七星湾TOD项目A1地块</v>
          </cell>
        </row>
        <row r="773">
          <cell r="G773" t="str">
            <v>住宅-毛坯非普宅</v>
          </cell>
          <cell r="H773" t="str">
            <v>回款含税(元）（贷款类回款）</v>
          </cell>
        </row>
        <row r="773"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</row>
        <row r="774">
          <cell r="B774" t="str">
            <v>七星湾TOD项目A1地块</v>
          </cell>
        </row>
        <row r="774">
          <cell r="G774" t="str">
            <v>住宅-毛坯非普宅</v>
          </cell>
          <cell r="H774" t="str">
            <v>回款含税(元）（贷款类回款）</v>
          </cell>
        </row>
        <row r="774"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</row>
        <row r="775">
          <cell r="B775" t="str">
            <v>七星湾TOD项目A1地块</v>
          </cell>
        </row>
        <row r="775">
          <cell r="G775" t="str">
            <v>办公楼</v>
          </cell>
          <cell r="H775" t="str">
            <v>回款含税(元）（贷款类回款）</v>
          </cell>
        </row>
        <row r="775"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</row>
        <row r="776">
          <cell r="B776" t="str">
            <v>七星湾TOD项目A1地块</v>
          </cell>
        </row>
        <row r="776">
          <cell r="G776" t="str">
            <v>商业</v>
          </cell>
          <cell r="H776" t="str">
            <v>回款含税(元）（贷款类回款）</v>
          </cell>
        </row>
        <row r="776"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8260000</v>
          </cell>
        </row>
        <row r="777">
          <cell r="B777" t="str">
            <v>七星湾TOD项目A1地块</v>
          </cell>
        </row>
        <row r="777">
          <cell r="G777" t="str">
            <v>车位</v>
          </cell>
          <cell r="H777" t="str">
            <v>回款含税(元）（贷款类回款）</v>
          </cell>
        </row>
        <row r="777">
          <cell r="N777">
            <v>940000</v>
          </cell>
        </row>
        <row r="777">
          <cell r="V777">
            <v>942000</v>
          </cell>
          <cell r="W777">
            <v>3600000</v>
          </cell>
          <cell r="X777">
            <v>5158000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</row>
        <row r="778">
          <cell r="B778" t="str">
            <v>七星湾TOD项目A4地块</v>
          </cell>
        </row>
        <row r="778">
          <cell r="G778" t="str">
            <v>住宅-精装普宅</v>
          </cell>
          <cell r="H778" t="str">
            <v>套数（套）</v>
          </cell>
        </row>
        <row r="778">
          <cell r="V778">
            <v>23</v>
          </cell>
          <cell r="W778">
            <v>431</v>
          </cell>
          <cell r="X778">
            <v>460</v>
          </cell>
          <cell r="Y778">
            <v>424</v>
          </cell>
          <cell r="Z778">
            <v>0</v>
          </cell>
          <cell r="AA778">
            <v>0</v>
          </cell>
          <cell r="AB778">
            <v>0</v>
          </cell>
        </row>
        <row r="779">
          <cell r="B779" t="str">
            <v>七星湾TOD项目A4地块</v>
          </cell>
        </row>
        <row r="779">
          <cell r="G779" t="str">
            <v>住宅-毛坯普宅</v>
          </cell>
          <cell r="H779" t="str">
            <v>套数（套）</v>
          </cell>
        </row>
        <row r="779"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</row>
        <row r="780">
          <cell r="B780" t="str">
            <v>七星湾TOD项目A4地块</v>
          </cell>
        </row>
        <row r="780">
          <cell r="G780" t="str">
            <v>住宅-精装非普宅</v>
          </cell>
          <cell r="H780" t="str">
            <v>套数（套）</v>
          </cell>
        </row>
        <row r="780">
          <cell r="V780">
            <v>1</v>
          </cell>
          <cell r="W780">
            <v>18</v>
          </cell>
          <cell r="X780">
            <v>40</v>
          </cell>
          <cell r="Y780">
            <v>28</v>
          </cell>
          <cell r="Z780">
            <v>0</v>
          </cell>
          <cell r="AA780">
            <v>0</v>
          </cell>
          <cell r="AB780">
            <v>0</v>
          </cell>
        </row>
        <row r="781">
          <cell r="B781" t="str">
            <v>七星湾TOD项目A4地块</v>
          </cell>
        </row>
        <row r="781">
          <cell r="G781" t="str">
            <v>住宅-毛坯非普宅</v>
          </cell>
          <cell r="H781" t="str">
            <v>套数（套）</v>
          </cell>
        </row>
        <row r="781"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</row>
        <row r="782">
          <cell r="B782" t="str">
            <v>七星湾TOD项目A4地块</v>
          </cell>
        </row>
        <row r="782">
          <cell r="G782" t="str">
            <v>住宅-毛坯非普宅</v>
          </cell>
          <cell r="H782" t="str">
            <v>套数（套）</v>
          </cell>
        </row>
        <row r="782"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</row>
        <row r="783">
          <cell r="B783" t="str">
            <v>七星湾TOD项目A4地块</v>
          </cell>
        </row>
        <row r="783">
          <cell r="G783" t="str">
            <v>办公楼</v>
          </cell>
          <cell r="H783" t="str">
            <v>套数（套）</v>
          </cell>
        </row>
        <row r="783"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</row>
        <row r="784">
          <cell r="B784" t="str">
            <v>七星湾TOD项目A4地块</v>
          </cell>
        </row>
        <row r="784">
          <cell r="G784" t="str">
            <v>商业</v>
          </cell>
          <cell r="H784" t="str">
            <v>套数（套）</v>
          </cell>
        </row>
        <row r="784"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45</v>
          </cell>
        </row>
        <row r="785">
          <cell r="B785" t="str">
            <v>七星湾TOD项目A4地块</v>
          </cell>
        </row>
        <row r="785">
          <cell r="G785" t="str">
            <v>车位</v>
          </cell>
          <cell r="H785" t="str">
            <v>套数（套）</v>
          </cell>
        </row>
        <row r="785">
          <cell r="V785">
            <v>0</v>
          </cell>
          <cell r="W785">
            <v>36</v>
          </cell>
          <cell r="X785">
            <v>158</v>
          </cell>
          <cell r="Y785">
            <v>360</v>
          </cell>
          <cell r="Z785">
            <v>300</v>
          </cell>
          <cell r="AA785">
            <v>234</v>
          </cell>
          <cell r="AB785">
            <v>0</v>
          </cell>
        </row>
        <row r="786">
          <cell r="B786" t="str">
            <v>七星湾TOD项目A4地块</v>
          </cell>
        </row>
        <row r="786">
          <cell r="G786" t="str">
            <v>住宅-精装普宅</v>
          </cell>
          <cell r="H786" t="str">
            <v>面积（㎡）</v>
          </cell>
        </row>
        <row r="786">
          <cell r="V786">
            <v>1853.68</v>
          </cell>
          <cell r="W786">
            <v>37817.1</v>
          </cell>
          <cell r="X786">
            <v>40777.01</v>
          </cell>
          <cell r="Y786">
            <v>37400.45</v>
          </cell>
          <cell r="Z786">
            <v>0</v>
          </cell>
          <cell r="AA786">
            <v>0</v>
          </cell>
          <cell r="AB786">
            <v>0</v>
          </cell>
        </row>
        <row r="787">
          <cell r="B787" t="str">
            <v>七星湾TOD项目A4地块</v>
          </cell>
        </row>
        <row r="787">
          <cell r="G787" t="str">
            <v>住宅-毛坯普宅</v>
          </cell>
          <cell r="H787" t="str">
            <v>面积（㎡）</v>
          </cell>
        </row>
        <row r="787"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</row>
        <row r="788">
          <cell r="B788" t="str">
            <v>七星湾TOD项目A4地块</v>
          </cell>
        </row>
        <row r="788">
          <cell r="G788" t="str">
            <v>住宅-精装非普宅</v>
          </cell>
          <cell r="H788" t="str">
            <v>面积（㎡）</v>
          </cell>
        </row>
        <row r="788">
          <cell r="V788">
            <v>157.8</v>
          </cell>
          <cell r="W788">
            <v>2850.32</v>
          </cell>
          <cell r="X788">
            <v>6365.68</v>
          </cell>
          <cell r="Y788">
            <v>4459.76</v>
          </cell>
          <cell r="Z788">
            <v>0</v>
          </cell>
          <cell r="AA788">
            <v>0</v>
          </cell>
          <cell r="AB788">
            <v>0</v>
          </cell>
        </row>
        <row r="789">
          <cell r="B789" t="str">
            <v>七星湾TOD项目A4地块</v>
          </cell>
        </row>
        <row r="789">
          <cell r="G789" t="str">
            <v>住宅-毛坯非普宅</v>
          </cell>
          <cell r="H789" t="str">
            <v>面积（㎡）</v>
          </cell>
        </row>
        <row r="789"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</row>
        <row r="790">
          <cell r="B790" t="str">
            <v>七星湾TOD项目A4地块</v>
          </cell>
        </row>
        <row r="790">
          <cell r="G790" t="str">
            <v>住宅-毛坯非普宅</v>
          </cell>
          <cell r="H790" t="str">
            <v>面积（㎡）</v>
          </cell>
        </row>
        <row r="790"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</row>
        <row r="791">
          <cell r="B791" t="str">
            <v>七星湾TOD项目A4地块</v>
          </cell>
        </row>
        <row r="791">
          <cell r="G791" t="str">
            <v>办公楼</v>
          </cell>
          <cell r="H791" t="str">
            <v>面积（㎡）</v>
          </cell>
        </row>
        <row r="791"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</row>
        <row r="792">
          <cell r="B792" t="str">
            <v>七星湾TOD项目A4地块</v>
          </cell>
        </row>
        <row r="792">
          <cell r="G792" t="str">
            <v>商业</v>
          </cell>
          <cell r="H792" t="str">
            <v>面积（㎡）</v>
          </cell>
        </row>
        <row r="792"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3544.33</v>
          </cell>
        </row>
        <row r="793">
          <cell r="B793" t="str">
            <v>七星湾TOD项目A4地块</v>
          </cell>
        </row>
        <row r="793">
          <cell r="G793" t="str">
            <v>车位</v>
          </cell>
          <cell r="H793" t="str">
            <v>面积（㎡）</v>
          </cell>
        </row>
        <row r="793">
          <cell r="V793">
            <v>0</v>
          </cell>
          <cell r="W793">
            <v>1232.52</v>
          </cell>
          <cell r="X793">
            <v>5409.92</v>
          </cell>
          <cell r="Y793">
            <v>12324.72</v>
          </cell>
          <cell r="Z793">
            <v>10272</v>
          </cell>
          <cell r="AA793">
            <v>8448.44</v>
          </cell>
          <cell r="AB793">
            <v>0</v>
          </cell>
        </row>
        <row r="794">
          <cell r="B794" t="str">
            <v>七星湾TOD项目A4地块</v>
          </cell>
        </row>
        <row r="794">
          <cell r="G794" t="str">
            <v>住宅-精装普宅</v>
          </cell>
          <cell r="H794" t="str">
            <v>签约(元）</v>
          </cell>
        </row>
        <row r="794">
          <cell r="V794">
            <v>37011653</v>
          </cell>
          <cell r="W794">
            <v>769464716</v>
          </cell>
          <cell r="X794">
            <v>905497403</v>
          </cell>
          <cell r="Y794">
            <v>749153462</v>
          </cell>
          <cell r="Z794">
            <v>0</v>
          </cell>
          <cell r="AA794">
            <v>0</v>
          </cell>
          <cell r="AB794">
            <v>0</v>
          </cell>
        </row>
        <row r="795">
          <cell r="B795" t="str">
            <v>七星湾TOD项目A4地块</v>
          </cell>
        </row>
        <row r="795">
          <cell r="G795" t="str">
            <v>住宅-毛坯普宅</v>
          </cell>
          <cell r="H795" t="str">
            <v>签约(元）</v>
          </cell>
        </row>
        <row r="795"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</row>
        <row r="796">
          <cell r="B796" t="str">
            <v>七星湾TOD项目A4地块</v>
          </cell>
        </row>
        <row r="796">
          <cell r="G796" t="str">
            <v>住宅-精装非普宅</v>
          </cell>
          <cell r="H796" t="str">
            <v>签约(元）</v>
          </cell>
        </row>
        <row r="796">
          <cell r="V796">
            <v>3689049</v>
          </cell>
          <cell r="W796">
            <v>64218837</v>
          </cell>
          <cell r="X796">
            <v>140800000</v>
          </cell>
          <cell r="Y796">
            <v>97642044</v>
          </cell>
          <cell r="Z796">
            <v>0</v>
          </cell>
          <cell r="AA796">
            <v>0</v>
          </cell>
          <cell r="AB796">
            <v>0</v>
          </cell>
        </row>
        <row r="797">
          <cell r="B797" t="str">
            <v>七星湾TOD项目A4地块</v>
          </cell>
        </row>
        <row r="797">
          <cell r="G797" t="str">
            <v>住宅-毛坯非普宅</v>
          </cell>
          <cell r="H797" t="str">
            <v>签约(元）</v>
          </cell>
        </row>
        <row r="797"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</row>
        <row r="798">
          <cell r="B798" t="str">
            <v>七星湾TOD项目A4地块</v>
          </cell>
        </row>
        <row r="798">
          <cell r="G798" t="str">
            <v>住宅-毛坯非普宅</v>
          </cell>
          <cell r="H798" t="str">
            <v>签约(元）</v>
          </cell>
        </row>
        <row r="798"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</row>
        <row r="799">
          <cell r="B799" t="str">
            <v>七星湾TOD项目A4地块</v>
          </cell>
        </row>
        <row r="799">
          <cell r="G799" t="str">
            <v>办公楼</v>
          </cell>
          <cell r="H799" t="str">
            <v>签约(元）</v>
          </cell>
        </row>
        <row r="799"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</row>
        <row r="800">
          <cell r="B800" t="str">
            <v>七星湾TOD项目A4地块</v>
          </cell>
        </row>
        <row r="800">
          <cell r="G800" t="str">
            <v>商业</v>
          </cell>
          <cell r="H800" t="str">
            <v>签约(元）</v>
          </cell>
        </row>
        <row r="800"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93393095.5</v>
          </cell>
        </row>
        <row r="801">
          <cell r="B801" t="str">
            <v>七星湾TOD项目A4地块</v>
          </cell>
        </row>
        <row r="801">
          <cell r="G801" t="str">
            <v>车位</v>
          </cell>
          <cell r="H801" t="str">
            <v>签约(元）</v>
          </cell>
        </row>
        <row r="801">
          <cell r="V801">
            <v>0</v>
          </cell>
          <cell r="W801">
            <v>3600000</v>
          </cell>
          <cell r="X801">
            <v>24317139</v>
          </cell>
          <cell r="Y801">
            <v>23649740</v>
          </cell>
          <cell r="Z801">
            <v>19854110</v>
          </cell>
          <cell r="AA801">
            <v>17145011</v>
          </cell>
          <cell r="AB801">
            <v>0</v>
          </cell>
        </row>
        <row r="802">
          <cell r="B802" t="str">
            <v>七星湾TOD项目A4地块</v>
          </cell>
        </row>
        <row r="802">
          <cell r="G802" t="str">
            <v>住宅-精装普宅</v>
          </cell>
          <cell r="H802" t="str">
            <v>回款含税(元）</v>
          </cell>
        </row>
        <row r="802">
          <cell r="N802">
            <v>0</v>
          </cell>
        </row>
        <row r="802">
          <cell r="V802">
            <v>7656544</v>
          </cell>
          <cell r="W802">
            <v>746948660</v>
          </cell>
          <cell r="X802">
            <v>876835061</v>
          </cell>
          <cell r="Y802">
            <v>731896969</v>
          </cell>
          <cell r="Z802">
            <v>97790000</v>
          </cell>
          <cell r="AA802">
            <v>0</v>
          </cell>
          <cell r="AB802">
            <v>0</v>
          </cell>
        </row>
        <row r="803">
          <cell r="B803" t="str">
            <v>七星湾TOD项目A4地块</v>
          </cell>
        </row>
        <row r="803">
          <cell r="G803" t="str">
            <v>住宅-毛坯普宅</v>
          </cell>
          <cell r="H803" t="str">
            <v>回款含税(元）</v>
          </cell>
        </row>
        <row r="803">
          <cell r="N803">
            <v>0</v>
          </cell>
        </row>
        <row r="803"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</row>
        <row r="804">
          <cell r="B804" t="str">
            <v>七星湾TOD项目A4地块</v>
          </cell>
        </row>
        <row r="804">
          <cell r="G804" t="str">
            <v>住宅-精装非普宅</v>
          </cell>
          <cell r="H804" t="str">
            <v>回款含税(元）</v>
          </cell>
        </row>
        <row r="804">
          <cell r="N804">
            <v>0</v>
          </cell>
        </row>
        <row r="804">
          <cell r="V804">
            <v>559049</v>
          </cell>
          <cell r="W804">
            <v>54609419</v>
          </cell>
          <cell r="X804">
            <v>138400000</v>
          </cell>
          <cell r="Y804">
            <v>112781462</v>
          </cell>
          <cell r="Z804">
            <v>0</v>
          </cell>
          <cell r="AA804">
            <v>0</v>
          </cell>
          <cell r="AB804">
            <v>0</v>
          </cell>
        </row>
        <row r="805">
          <cell r="B805" t="str">
            <v>七星湾TOD项目A4地块</v>
          </cell>
        </row>
        <row r="805">
          <cell r="G805" t="str">
            <v>住宅-毛坯非普宅</v>
          </cell>
          <cell r="H805" t="str">
            <v>回款含税(元）</v>
          </cell>
        </row>
        <row r="805">
          <cell r="N805">
            <v>0</v>
          </cell>
        </row>
        <row r="805"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</row>
        <row r="806">
          <cell r="B806" t="str">
            <v>七星湾TOD项目A4地块</v>
          </cell>
        </row>
        <row r="806">
          <cell r="G806" t="str">
            <v>住宅-毛坯非普宅</v>
          </cell>
          <cell r="H806" t="str">
            <v>回款含税(元）</v>
          </cell>
        </row>
        <row r="806">
          <cell r="N806">
            <v>0</v>
          </cell>
        </row>
        <row r="806"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</row>
        <row r="807">
          <cell r="B807" t="str">
            <v>七星湾TOD项目A4地块</v>
          </cell>
        </row>
        <row r="807">
          <cell r="G807" t="str">
            <v>办公楼</v>
          </cell>
          <cell r="H807" t="str">
            <v>回款含税(元）</v>
          </cell>
        </row>
        <row r="807">
          <cell r="N807">
            <v>0</v>
          </cell>
        </row>
        <row r="807"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</row>
        <row r="808">
          <cell r="B808" t="str">
            <v>七星湾TOD项目A4地块</v>
          </cell>
        </row>
        <row r="808">
          <cell r="G808" t="str">
            <v>商业</v>
          </cell>
          <cell r="H808" t="str">
            <v>回款含税(元）</v>
          </cell>
        </row>
        <row r="808">
          <cell r="N808">
            <v>0</v>
          </cell>
        </row>
        <row r="808"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93393095.5</v>
          </cell>
        </row>
        <row r="809">
          <cell r="B809" t="str">
            <v>七星湾TOD项目A4地块</v>
          </cell>
        </row>
        <row r="809">
          <cell r="G809" t="str">
            <v>车位</v>
          </cell>
          <cell r="H809" t="str">
            <v>回款含税(元）</v>
          </cell>
        </row>
        <row r="809">
          <cell r="N809">
            <v>0</v>
          </cell>
        </row>
        <row r="809">
          <cell r="V809">
            <v>0</v>
          </cell>
          <cell r="W809">
            <v>3150000</v>
          </cell>
          <cell r="X809">
            <v>21517139</v>
          </cell>
          <cell r="Y809">
            <v>24000000</v>
          </cell>
          <cell r="Z809">
            <v>37448861</v>
          </cell>
          <cell r="AA809">
            <v>2450000</v>
          </cell>
          <cell r="AB809">
            <v>0</v>
          </cell>
        </row>
        <row r="810">
          <cell r="B810" t="str">
            <v>七星湾TOD项目A4地块</v>
          </cell>
        </row>
        <row r="810">
          <cell r="G810" t="str">
            <v>住宅-精装普宅</v>
          </cell>
          <cell r="H810" t="str">
            <v>回款含税(元）（非贷款类回款）</v>
          </cell>
        </row>
        <row r="810">
          <cell r="V810">
            <v>7656544</v>
          </cell>
          <cell r="W810">
            <v>376728660</v>
          </cell>
          <cell r="X810">
            <v>472585061</v>
          </cell>
          <cell r="Y810">
            <v>373596969</v>
          </cell>
          <cell r="Z810">
            <v>0</v>
          </cell>
          <cell r="AA810">
            <v>0</v>
          </cell>
          <cell r="AB810">
            <v>0</v>
          </cell>
        </row>
        <row r="811">
          <cell r="B811" t="str">
            <v>七星湾TOD项目A4地块</v>
          </cell>
        </row>
        <row r="811">
          <cell r="G811" t="str">
            <v>住宅-毛坯普宅</v>
          </cell>
          <cell r="H811" t="str">
            <v>回款含税(元）（非贷款类回款）</v>
          </cell>
        </row>
        <row r="811"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</row>
        <row r="812">
          <cell r="B812" t="str">
            <v>七星湾TOD项目A4地块</v>
          </cell>
        </row>
        <row r="812">
          <cell r="G812" t="str">
            <v>住宅-精装非普宅</v>
          </cell>
          <cell r="H812" t="str">
            <v>回款含税(元）（非贷款类回款）</v>
          </cell>
        </row>
        <row r="812">
          <cell r="V812">
            <v>559049</v>
          </cell>
          <cell r="W812">
            <v>32109419</v>
          </cell>
          <cell r="X812">
            <v>62400000</v>
          </cell>
          <cell r="Y812">
            <v>58111462</v>
          </cell>
          <cell r="Z812">
            <v>0</v>
          </cell>
          <cell r="AA812">
            <v>0</v>
          </cell>
          <cell r="AB812">
            <v>0</v>
          </cell>
        </row>
        <row r="813">
          <cell r="B813" t="str">
            <v>七星湾TOD项目A4地块</v>
          </cell>
        </row>
        <row r="813">
          <cell r="G813" t="str">
            <v>住宅-毛坯非普宅</v>
          </cell>
          <cell r="H813" t="str">
            <v>回款含税(元）（非贷款类回款）</v>
          </cell>
        </row>
        <row r="813"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</row>
        <row r="814">
          <cell r="B814" t="str">
            <v>七星湾TOD项目A4地块</v>
          </cell>
        </row>
        <row r="814">
          <cell r="G814" t="str">
            <v>住宅-毛坯非普宅</v>
          </cell>
          <cell r="H814" t="str">
            <v>回款含税(元）（非贷款类回款）</v>
          </cell>
        </row>
        <row r="814"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</row>
        <row r="815">
          <cell r="B815" t="str">
            <v>七星湾TOD项目A4地块</v>
          </cell>
        </row>
        <row r="815">
          <cell r="G815" t="str">
            <v>办公楼</v>
          </cell>
          <cell r="H815" t="str">
            <v>回款含税(元）（非贷款类回款）</v>
          </cell>
        </row>
        <row r="815"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</row>
        <row r="816">
          <cell r="B816" t="str">
            <v>七星湾TOD项目A4地块</v>
          </cell>
        </row>
        <row r="816">
          <cell r="G816" t="str">
            <v>商业</v>
          </cell>
          <cell r="H816" t="str">
            <v>回款含税(元）（非贷款类回款）</v>
          </cell>
        </row>
        <row r="816"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46693095.5</v>
          </cell>
        </row>
        <row r="817">
          <cell r="B817" t="str">
            <v>七星湾TOD项目A4地块</v>
          </cell>
        </row>
        <row r="817">
          <cell r="G817" t="str">
            <v>车位</v>
          </cell>
          <cell r="H817" t="str">
            <v>回款含税(元）（非贷款类回款）</v>
          </cell>
        </row>
        <row r="817">
          <cell r="V817">
            <v>0</v>
          </cell>
          <cell r="W817">
            <v>1800000</v>
          </cell>
          <cell r="X817">
            <v>12158569.5</v>
          </cell>
          <cell r="Y817">
            <v>12000000</v>
          </cell>
          <cell r="Z817">
            <v>18324430.5</v>
          </cell>
          <cell r="AA817">
            <v>0</v>
          </cell>
          <cell r="AB817">
            <v>0</v>
          </cell>
        </row>
        <row r="818">
          <cell r="B818" t="str">
            <v>七星湾TOD项目A4地块</v>
          </cell>
        </row>
        <row r="818">
          <cell r="G818" t="str">
            <v>住宅-精装普宅</v>
          </cell>
          <cell r="H818" t="str">
            <v>回款含税(元）（贷款类回款）</v>
          </cell>
        </row>
        <row r="818">
          <cell r="V818">
            <v>0</v>
          </cell>
          <cell r="W818">
            <v>370220000</v>
          </cell>
          <cell r="X818">
            <v>404250000</v>
          </cell>
          <cell r="Y818">
            <v>358300000</v>
          </cell>
          <cell r="Z818">
            <v>97790000</v>
          </cell>
          <cell r="AA818">
            <v>0</v>
          </cell>
          <cell r="AB818">
            <v>0</v>
          </cell>
        </row>
        <row r="819">
          <cell r="B819" t="str">
            <v>七星湾TOD项目A4地块</v>
          </cell>
        </row>
        <row r="819">
          <cell r="G819" t="str">
            <v>住宅-毛坯普宅</v>
          </cell>
          <cell r="H819" t="str">
            <v>回款含税(元）（贷款类回款）</v>
          </cell>
        </row>
        <row r="819"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</row>
        <row r="820">
          <cell r="B820" t="str">
            <v>七星湾TOD项目A4地块</v>
          </cell>
        </row>
        <row r="820">
          <cell r="G820" t="str">
            <v>住宅-精装非普宅</v>
          </cell>
          <cell r="H820" t="str">
            <v>回款含税(元）（贷款类回款）</v>
          </cell>
        </row>
        <row r="820">
          <cell r="V820">
            <v>0</v>
          </cell>
          <cell r="W820">
            <v>22500000</v>
          </cell>
          <cell r="X820">
            <v>76000000</v>
          </cell>
          <cell r="Y820">
            <v>54670000</v>
          </cell>
          <cell r="Z820">
            <v>0</v>
          </cell>
          <cell r="AA820">
            <v>0</v>
          </cell>
          <cell r="AB820">
            <v>0</v>
          </cell>
        </row>
        <row r="821">
          <cell r="B821" t="str">
            <v>七星湾TOD项目A4地块</v>
          </cell>
        </row>
        <row r="821">
          <cell r="G821" t="str">
            <v>住宅-毛坯非普宅</v>
          </cell>
          <cell r="H821" t="str">
            <v>回款含税(元）（贷款类回款）</v>
          </cell>
        </row>
        <row r="821"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</row>
        <row r="822">
          <cell r="B822" t="str">
            <v>七星湾TOD项目A4地块</v>
          </cell>
        </row>
        <row r="822">
          <cell r="G822" t="str">
            <v>住宅-毛坯非普宅</v>
          </cell>
          <cell r="H822" t="str">
            <v>回款含税(元）（贷款类回款）</v>
          </cell>
        </row>
        <row r="822"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</row>
        <row r="823">
          <cell r="B823" t="str">
            <v>七星湾TOD项目A4地块</v>
          </cell>
        </row>
        <row r="823">
          <cell r="G823" t="str">
            <v>办公楼</v>
          </cell>
          <cell r="H823" t="str">
            <v>回款含税(元）（贷款类回款）</v>
          </cell>
        </row>
        <row r="823"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</row>
        <row r="824">
          <cell r="B824" t="str">
            <v>七星湾TOD项目A4地块</v>
          </cell>
        </row>
        <row r="824">
          <cell r="G824" t="str">
            <v>商业</v>
          </cell>
          <cell r="H824" t="str">
            <v>回款含税(元）（贷款类回款）</v>
          </cell>
        </row>
        <row r="824"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46700000</v>
          </cell>
        </row>
        <row r="825">
          <cell r="B825" t="str">
            <v>七星湾TOD项目A4地块</v>
          </cell>
        </row>
        <row r="825">
          <cell r="G825" t="str">
            <v>车位</v>
          </cell>
          <cell r="H825" t="str">
            <v>回款含税(元）（贷款类回款）</v>
          </cell>
        </row>
        <row r="825">
          <cell r="V825">
            <v>0</v>
          </cell>
          <cell r="W825">
            <v>1350000</v>
          </cell>
          <cell r="X825">
            <v>9358569.5</v>
          </cell>
          <cell r="Y825">
            <v>12000000</v>
          </cell>
          <cell r="Z825">
            <v>19124430.5</v>
          </cell>
          <cell r="AA825">
            <v>2450000</v>
          </cell>
          <cell r="AB825">
            <v>0</v>
          </cell>
        </row>
        <row r="826">
          <cell r="B826" t="str">
            <v>七星湾TOD项目A2地块</v>
          </cell>
        </row>
        <row r="826">
          <cell r="G826" t="str">
            <v>住宅-精装普宅</v>
          </cell>
          <cell r="H826" t="str">
            <v>套数（套）</v>
          </cell>
        </row>
        <row r="826">
          <cell r="V826">
            <v>0</v>
          </cell>
          <cell r="W826">
            <v>0</v>
          </cell>
          <cell r="X826">
            <v>100</v>
          </cell>
          <cell r="Y826">
            <v>200</v>
          </cell>
          <cell r="Z826">
            <v>600</v>
          </cell>
          <cell r="AA826">
            <v>0</v>
          </cell>
          <cell r="AB826">
            <v>0</v>
          </cell>
        </row>
        <row r="827">
          <cell r="B827" t="str">
            <v>七星湾TOD项目A2地块</v>
          </cell>
        </row>
        <row r="827">
          <cell r="G827" t="str">
            <v>住宅-毛坯普宅</v>
          </cell>
          <cell r="H827" t="str">
            <v>套数（套）</v>
          </cell>
        </row>
        <row r="827"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</row>
        <row r="828">
          <cell r="B828" t="str">
            <v>七星湾TOD项目A2地块</v>
          </cell>
        </row>
        <row r="828">
          <cell r="G828" t="str">
            <v>住宅-精装非普宅</v>
          </cell>
          <cell r="H828" t="str">
            <v>套数（套）</v>
          </cell>
        </row>
        <row r="828"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</row>
        <row r="829">
          <cell r="B829" t="str">
            <v>七星湾TOD项目A2地块</v>
          </cell>
        </row>
        <row r="829">
          <cell r="G829" t="str">
            <v>住宅-毛坯非普宅</v>
          </cell>
          <cell r="H829" t="str">
            <v>套数（套）</v>
          </cell>
        </row>
        <row r="829"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</row>
        <row r="830">
          <cell r="B830" t="str">
            <v>七星湾TOD项目A2地块</v>
          </cell>
        </row>
        <row r="830">
          <cell r="G830" t="str">
            <v>住宅-毛坯非普宅</v>
          </cell>
          <cell r="H830" t="str">
            <v>套数（套）</v>
          </cell>
        </row>
        <row r="830"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</row>
        <row r="831">
          <cell r="B831" t="str">
            <v>七星湾TOD项目A2地块</v>
          </cell>
        </row>
        <row r="831">
          <cell r="G831" t="str">
            <v>办公楼</v>
          </cell>
          <cell r="H831" t="str">
            <v>套数（套）</v>
          </cell>
        </row>
        <row r="831"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</row>
        <row r="832">
          <cell r="B832" t="str">
            <v>七星湾TOD项目A2地块</v>
          </cell>
        </row>
        <row r="832">
          <cell r="G832" t="str">
            <v>商业</v>
          </cell>
          <cell r="H832" t="str">
            <v>套数（套）</v>
          </cell>
        </row>
        <row r="832"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26</v>
          </cell>
        </row>
        <row r="833">
          <cell r="B833" t="str">
            <v>七星湾TOD项目A2地块</v>
          </cell>
        </row>
        <row r="833">
          <cell r="G833" t="str">
            <v>车位</v>
          </cell>
          <cell r="H833" t="str">
            <v>套数（套）</v>
          </cell>
        </row>
        <row r="833">
          <cell r="V833">
            <v>0</v>
          </cell>
          <cell r="W833">
            <v>0</v>
          </cell>
          <cell r="X833">
            <v>0</v>
          </cell>
          <cell r="Y833">
            <v>100</v>
          </cell>
          <cell r="Z833">
            <v>120</v>
          </cell>
          <cell r="AA833">
            <v>140</v>
          </cell>
          <cell r="AB833">
            <v>393</v>
          </cell>
        </row>
        <row r="834">
          <cell r="B834" t="str">
            <v>七星湾TOD项目A2地块</v>
          </cell>
        </row>
        <row r="834">
          <cell r="G834" t="str">
            <v>住宅-精装普宅</v>
          </cell>
          <cell r="H834" t="str">
            <v>面积（㎡）</v>
          </cell>
        </row>
        <row r="834">
          <cell r="V834">
            <v>0</v>
          </cell>
          <cell r="W834">
            <v>0</v>
          </cell>
          <cell r="X834">
            <v>9707.61</v>
          </cell>
          <cell r="Y834">
            <v>19415.22</v>
          </cell>
          <cell r="Z834">
            <v>58245.69</v>
          </cell>
          <cell r="AA834">
            <v>0</v>
          </cell>
          <cell r="AB834">
            <v>0</v>
          </cell>
        </row>
        <row r="835">
          <cell r="B835" t="str">
            <v>七星湾TOD项目A2地块</v>
          </cell>
        </row>
        <row r="835">
          <cell r="G835" t="str">
            <v>住宅-毛坯普宅</v>
          </cell>
          <cell r="H835" t="str">
            <v>面积（㎡）</v>
          </cell>
        </row>
        <row r="835"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</row>
        <row r="836">
          <cell r="B836" t="str">
            <v>七星湾TOD项目A2地块</v>
          </cell>
        </row>
        <row r="836">
          <cell r="G836" t="str">
            <v>住宅-精装非普宅</v>
          </cell>
          <cell r="H836" t="str">
            <v>面积（㎡）</v>
          </cell>
        </row>
        <row r="836"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</row>
        <row r="837">
          <cell r="B837" t="str">
            <v>七星湾TOD项目A2地块</v>
          </cell>
        </row>
        <row r="837">
          <cell r="G837" t="str">
            <v>住宅-毛坯非普宅</v>
          </cell>
          <cell r="H837" t="str">
            <v>面积（㎡）</v>
          </cell>
        </row>
        <row r="837"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</row>
        <row r="838">
          <cell r="B838" t="str">
            <v>七星湾TOD项目A2地块</v>
          </cell>
        </row>
        <row r="838">
          <cell r="G838" t="str">
            <v>住宅-毛坯非普宅</v>
          </cell>
          <cell r="H838" t="str">
            <v>面积（㎡）</v>
          </cell>
        </row>
        <row r="838"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</row>
        <row r="839">
          <cell r="B839" t="str">
            <v>七星湾TOD项目A2地块</v>
          </cell>
        </row>
        <row r="839">
          <cell r="G839" t="str">
            <v>办公楼</v>
          </cell>
          <cell r="H839" t="str">
            <v>面积（㎡）</v>
          </cell>
        </row>
        <row r="839"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</row>
        <row r="840">
          <cell r="B840" t="str">
            <v>七星湾TOD项目A2地块</v>
          </cell>
        </row>
        <row r="840">
          <cell r="G840" t="str">
            <v>商业</v>
          </cell>
          <cell r="H840" t="str">
            <v>面积（㎡）</v>
          </cell>
        </row>
        <row r="840"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1990</v>
          </cell>
        </row>
        <row r="841">
          <cell r="B841" t="str">
            <v>七星湾TOD项目A2地块</v>
          </cell>
        </row>
        <row r="841">
          <cell r="G841" t="str">
            <v>车位</v>
          </cell>
          <cell r="H841" t="str">
            <v>面积（㎡）</v>
          </cell>
        </row>
        <row r="841">
          <cell r="V841">
            <v>0</v>
          </cell>
          <cell r="W841">
            <v>0</v>
          </cell>
          <cell r="X841">
            <v>0</v>
          </cell>
          <cell r="Y841">
            <v>4136.62</v>
          </cell>
          <cell r="Z841">
            <v>4964.4</v>
          </cell>
          <cell r="AA841">
            <v>5791.8</v>
          </cell>
          <cell r="AB841">
            <v>16255.91</v>
          </cell>
        </row>
        <row r="842">
          <cell r="B842" t="str">
            <v>七星湾TOD项目A2地块</v>
          </cell>
        </row>
        <row r="842">
          <cell r="G842" t="str">
            <v>住宅-精装普宅</v>
          </cell>
          <cell r="H842" t="str">
            <v>签约(元）</v>
          </cell>
        </row>
        <row r="842">
          <cell r="V842">
            <v>0</v>
          </cell>
          <cell r="W842">
            <v>0</v>
          </cell>
          <cell r="X842">
            <v>213567420</v>
          </cell>
          <cell r="Y842">
            <v>427134840</v>
          </cell>
          <cell r="Z842">
            <v>1281405180</v>
          </cell>
          <cell r="AA842">
            <v>0</v>
          </cell>
          <cell r="AB842">
            <v>0</v>
          </cell>
        </row>
        <row r="843">
          <cell r="B843" t="str">
            <v>七星湾TOD项目A2地块</v>
          </cell>
        </row>
        <row r="843">
          <cell r="G843" t="str">
            <v>住宅-毛坯普宅</v>
          </cell>
          <cell r="H843" t="str">
            <v>签约(元）</v>
          </cell>
        </row>
        <row r="843"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</row>
        <row r="844">
          <cell r="B844" t="str">
            <v>七星湾TOD项目A2地块</v>
          </cell>
        </row>
        <row r="844">
          <cell r="G844" t="str">
            <v>住宅-精装非普宅</v>
          </cell>
          <cell r="H844" t="str">
            <v>签约(元）</v>
          </cell>
        </row>
        <row r="844"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</row>
        <row r="845">
          <cell r="B845" t="str">
            <v>七星湾TOD项目A2地块</v>
          </cell>
        </row>
        <row r="845">
          <cell r="G845" t="str">
            <v>住宅-毛坯非普宅</v>
          </cell>
          <cell r="H845" t="str">
            <v>签约(元）</v>
          </cell>
        </row>
        <row r="845"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</row>
        <row r="846">
          <cell r="B846" t="str">
            <v>七星湾TOD项目A2地块</v>
          </cell>
        </row>
        <row r="846">
          <cell r="G846" t="str">
            <v>住宅-毛坯非普宅</v>
          </cell>
          <cell r="H846" t="str">
            <v>签约(元）</v>
          </cell>
        </row>
        <row r="846"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</row>
        <row r="847">
          <cell r="B847" t="str">
            <v>七星湾TOD项目A2地块</v>
          </cell>
        </row>
        <row r="847">
          <cell r="G847" t="str">
            <v>办公楼</v>
          </cell>
          <cell r="H847" t="str">
            <v>签约(元）</v>
          </cell>
        </row>
        <row r="847"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</row>
        <row r="848">
          <cell r="B848" t="str">
            <v>七星湾TOD项目A2地块</v>
          </cell>
        </row>
        <row r="848">
          <cell r="G848" t="str">
            <v>商业</v>
          </cell>
          <cell r="H848" t="str">
            <v>签约(元）</v>
          </cell>
        </row>
        <row r="848"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50745000</v>
          </cell>
        </row>
        <row r="849">
          <cell r="B849" t="str">
            <v>七星湾TOD项目A2地块</v>
          </cell>
        </row>
        <row r="849">
          <cell r="G849" t="str">
            <v>车位</v>
          </cell>
          <cell r="H849" t="str">
            <v>签约(元）</v>
          </cell>
        </row>
        <row r="849">
          <cell r="V849">
            <v>0</v>
          </cell>
          <cell r="W849">
            <v>0</v>
          </cell>
          <cell r="X849">
            <v>0</v>
          </cell>
          <cell r="Y849">
            <v>10000000</v>
          </cell>
          <cell r="Z849">
            <v>12000000</v>
          </cell>
          <cell r="AA849">
            <v>15960495</v>
          </cell>
          <cell r="AB849">
            <v>37339505</v>
          </cell>
        </row>
        <row r="850">
          <cell r="B850" t="str">
            <v>七星湾TOD项目A2地块</v>
          </cell>
        </row>
        <row r="850">
          <cell r="G850" t="str">
            <v>住宅-精装普宅</v>
          </cell>
          <cell r="H850" t="str">
            <v>回款含税(元）</v>
          </cell>
        </row>
        <row r="850">
          <cell r="N850">
            <v>0</v>
          </cell>
        </row>
        <row r="850">
          <cell r="V850">
            <v>0</v>
          </cell>
          <cell r="W850">
            <v>0</v>
          </cell>
          <cell r="X850">
            <v>161284232</v>
          </cell>
          <cell r="Y850">
            <v>435120731</v>
          </cell>
          <cell r="Z850">
            <v>1144095224</v>
          </cell>
          <cell r="AA850">
            <v>181607253</v>
          </cell>
          <cell r="AB850">
            <v>0</v>
          </cell>
        </row>
        <row r="851">
          <cell r="B851" t="str">
            <v>七星湾TOD项目A2地块</v>
          </cell>
        </row>
        <row r="851">
          <cell r="G851" t="str">
            <v>住宅-毛坯普宅</v>
          </cell>
          <cell r="H851" t="str">
            <v>回款含税(元）</v>
          </cell>
        </row>
        <row r="851">
          <cell r="N851">
            <v>0</v>
          </cell>
        </row>
        <row r="851"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</row>
        <row r="852">
          <cell r="B852" t="str">
            <v>七星湾TOD项目A2地块</v>
          </cell>
        </row>
        <row r="852">
          <cell r="G852" t="str">
            <v>住宅-精装非普宅</v>
          </cell>
          <cell r="H852" t="str">
            <v>回款含税(元）</v>
          </cell>
        </row>
        <row r="852">
          <cell r="N852">
            <v>0</v>
          </cell>
        </row>
        <row r="852"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</row>
        <row r="853">
          <cell r="B853" t="str">
            <v>七星湾TOD项目A2地块</v>
          </cell>
        </row>
        <row r="853">
          <cell r="G853" t="str">
            <v>住宅-毛坯非普宅</v>
          </cell>
          <cell r="H853" t="str">
            <v>回款含税(元）</v>
          </cell>
        </row>
        <row r="853">
          <cell r="N853">
            <v>0</v>
          </cell>
        </row>
        <row r="853"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</row>
        <row r="854">
          <cell r="B854" t="str">
            <v>七星湾TOD项目A2地块</v>
          </cell>
        </row>
        <row r="854">
          <cell r="G854" t="str">
            <v>住宅-毛坯非普宅</v>
          </cell>
          <cell r="H854" t="str">
            <v>回款含税(元）</v>
          </cell>
        </row>
        <row r="854">
          <cell r="N854">
            <v>0</v>
          </cell>
        </row>
        <row r="854"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</row>
        <row r="855">
          <cell r="B855" t="str">
            <v>七星湾TOD项目A2地块</v>
          </cell>
        </row>
        <row r="855">
          <cell r="G855" t="str">
            <v>办公楼</v>
          </cell>
          <cell r="H855" t="str">
            <v>回款含税(元）</v>
          </cell>
        </row>
        <row r="855">
          <cell r="N855">
            <v>0</v>
          </cell>
        </row>
        <row r="855"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</row>
        <row r="856">
          <cell r="B856" t="str">
            <v>七星湾TOD项目A2地块</v>
          </cell>
        </row>
        <row r="856">
          <cell r="G856" t="str">
            <v>商业</v>
          </cell>
          <cell r="H856" t="str">
            <v>回款含税(元）</v>
          </cell>
        </row>
        <row r="856">
          <cell r="N856">
            <v>0</v>
          </cell>
        </row>
        <row r="856"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50745000</v>
          </cell>
        </row>
        <row r="857">
          <cell r="B857" t="str">
            <v>七星湾TOD项目A2地块</v>
          </cell>
        </row>
        <row r="857">
          <cell r="G857" t="str">
            <v>车位</v>
          </cell>
          <cell r="H857" t="str">
            <v>回款含税(元）</v>
          </cell>
        </row>
        <row r="857">
          <cell r="N857">
            <v>0</v>
          </cell>
        </row>
        <row r="857">
          <cell r="V857">
            <v>0</v>
          </cell>
          <cell r="W857">
            <v>0</v>
          </cell>
          <cell r="X857">
            <v>0</v>
          </cell>
          <cell r="Y857">
            <v>9000000</v>
          </cell>
          <cell r="Z857">
            <v>10550030</v>
          </cell>
          <cell r="AA857">
            <v>13772198</v>
          </cell>
          <cell r="AB857">
            <v>41977772</v>
          </cell>
        </row>
        <row r="858">
          <cell r="B858" t="str">
            <v>七星湾TOD项目A2地块</v>
          </cell>
        </row>
        <row r="858">
          <cell r="G858" t="str">
            <v>住宅-精装普宅</v>
          </cell>
          <cell r="H858" t="str">
            <v>回款含税(元）（非贷款类回款）</v>
          </cell>
        </row>
        <row r="858">
          <cell r="V858">
            <v>0</v>
          </cell>
          <cell r="W858">
            <v>0</v>
          </cell>
          <cell r="X858">
            <v>111644232</v>
          </cell>
          <cell r="Y858">
            <v>182260731</v>
          </cell>
          <cell r="Z858">
            <v>622441224</v>
          </cell>
          <cell r="AA858">
            <v>1021253</v>
          </cell>
          <cell r="AB858">
            <v>0</v>
          </cell>
        </row>
        <row r="859">
          <cell r="B859" t="str">
            <v>七星湾TOD项目A2地块</v>
          </cell>
        </row>
        <row r="859">
          <cell r="G859" t="str">
            <v>住宅-毛坯普宅</v>
          </cell>
          <cell r="H859" t="str">
            <v>回款含税(元）（非贷款类回款）</v>
          </cell>
        </row>
        <row r="859"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</row>
        <row r="860">
          <cell r="B860" t="str">
            <v>七星湾TOD项目A2地块</v>
          </cell>
        </row>
        <row r="860">
          <cell r="G860" t="str">
            <v>住宅-精装非普宅</v>
          </cell>
          <cell r="H860" t="str">
            <v>回款含税(元）（非贷款类回款）</v>
          </cell>
        </row>
        <row r="860"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</row>
        <row r="861">
          <cell r="B861" t="str">
            <v>七星湾TOD项目A2地块</v>
          </cell>
        </row>
        <row r="861">
          <cell r="G861" t="str">
            <v>住宅-毛坯非普宅</v>
          </cell>
          <cell r="H861" t="str">
            <v>回款含税(元）（非贷款类回款）</v>
          </cell>
        </row>
        <row r="861"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</row>
        <row r="862">
          <cell r="B862" t="str">
            <v>七星湾TOD项目A2地块</v>
          </cell>
        </row>
        <row r="862">
          <cell r="G862" t="str">
            <v>住宅-毛坯非普宅</v>
          </cell>
          <cell r="H862" t="str">
            <v>回款含税(元）（非贷款类回款）</v>
          </cell>
        </row>
        <row r="862"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</row>
        <row r="863">
          <cell r="B863" t="str">
            <v>七星湾TOD项目A2地块</v>
          </cell>
        </row>
        <row r="863">
          <cell r="G863" t="str">
            <v>办公楼</v>
          </cell>
          <cell r="H863" t="str">
            <v>回款含税(元）（非贷款类回款）</v>
          </cell>
        </row>
        <row r="863"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</row>
        <row r="864">
          <cell r="B864" t="str">
            <v>七星湾TOD项目A2地块</v>
          </cell>
        </row>
        <row r="864">
          <cell r="G864" t="str">
            <v>商业</v>
          </cell>
          <cell r="H864" t="str">
            <v>回款含税(元）（非贷款类回款）</v>
          </cell>
        </row>
        <row r="864"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25375000</v>
          </cell>
        </row>
        <row r="865">
          <cell r="B865" t="str">
            <v>七星湾TOD项目A2地块</v>
          </cell>
        </row>
        <row r="865">
          <cell r="G865" t="str">
            <v>车位</v>
          </cell>
          <cell r="H865" t="str">
            <v>回款含税(元）（非贷款类回款）</v>
          </cell>
        </row>
        <row r="865">
          <cell r="V865">
            <v>0</v>
          </cell>
          <cell r="W865">
            <v>0</v>
          </cell>
          <cell r="X865">
            <v>0</v>
          </cell>
          <cell r="Y865">
            <v>5000000</v>
          </cell>
          <cell r="Z865">
            <v>5550030</v>
          </cell>
          <cell r="AA865">
            <v>8092198</v>
          </cell>
          <cell r="AB865">
            <v>19007772</v>
          </cell>
        </row>
        <row r="866">
          <cell r="B866" t="str">
            <v>七星湾TOD项目A2地块</v>
          </cell>
        </row>
        <row r="866">
          <cell r="G866" t="str">
            <v>住宅-精装普宅</v>
          </cell>
          <cell r="H866" t="str">
            <v>回款含税(元）（贷款类回款）</v>
          </cell>
        </row>
        <row r="866">
          <cell r="V866">
            <v>0</v>
          </cell>
          <cell r="W866">
            <v>0</v>
          </cell>
          <cell r="X866">
            <v>49640000</v>
          </cell>
          <cell r="Y866">
            <v>252860000</v>
          </cell>
          <cell r="Z866">
            <v>521654000</v>
          </cell>
          <cell r="AA866">
            <v>180586000</v>
          </cell>
          <cell r="AB866">
            <v>0</v>
          </cell>
        </row>
        <row r="867">
          <cell r="B867" t="str">
            <v>七星湾TOD项目A2地块</v>
          </cell>
        </row>
        <row r="867">
          <cell r="G867" t="str">
            <v>住宅-毛坯普宅</v>
          </cell>
          <cell r="H867" t="str">
            <v>回款含税(元）（贷款类回款）</v>
          </cell>
        </row>
        <row r="867"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</row>
        <row r="868">
          <cell r="B868" t="str">
            <v>七星湾TOD项目A2地块</v>
          </cell>
        </row>
        <row r="868">
          <cell r="G868" t="str">
            <v>住宅-精装非普宅</v>
          </cell>
          <cell r="H868" t="str">
            <v>回款含税(元）（贷款类回款）</v>
          </cell>
        </row>
        <row r="868"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</row>
        <row r="869">
          <cell r="B869" t="str">
            <v>七星湾TOD项目A2地块</v>
          </cell>
        </row>
        <row r="869">
          <cell r="G869" t="str">
            <v>住宅-毛坯非普宅</v>
          </cell>
          <cell r="H869" t="str">
            <v>回款含税(元）（贷款类回款）</v>
          </cell>
        </row>
        <row r="869"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</row>
        <row r="870">
          <cell r="B870" t="str">
            <v>七星湾TOD项目A2地块</v>
          </cell>
        </row>
        <row r="870">
          <cell r="G870" t="str">
            <v>住宅-毛坯非普宅</v>
          </cell>
          <cell r="H870" t="str">
            <v>回款含税(元）（贷款类回款）</v>
          </cell>
        </row>
        <row r="870"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</row>
        <row r="871">
          <cell r="B871" t="str">
            <v>七星湾TOD项目A2地块</v>
          </cell>
        </row>
        <row r="871">
          <cell r="G871" t="str">
            <v>办公楼</v>
          </cell>
          <cell r="H871" t="str">
            <v>回款含税(元）（贷款类回款）</v>
          </cell>
        </row>
        <row r="871"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</row>
        <row r="872">
          <cell r="B872" t="str">
            <v>七星湾TOD项目A2地块</v>
          </cell>
        </row>
        <row r="872">
          <cell r="G872" t="str">
            <v>商业</v>
          </cell>
          <cell r="H872" t="str">
            <v>回款含税(元）（贷款类回款）</v>
          </cell>
        </row>
        <row r="872"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25370000</v>
          </cell>
        </row>
        <row r="873">
          <cell r="B873" t="str">
            <v>七星湾TOD项目A2地块</v>
          </cell>
        </row>
        <row r="873">
          <cell r="G873" t="str">
            <v>车位</v>
          </cell>
          <cell r="H873" t="str">
            <v>回款含税(元）（贷款类回款）</v>
          </cell>
        </row>
        <row r="873">
          <cell r="V873">
            <v>0</v>
          </cell>
          <cell r="W873">
            <v>0</v>
          </cell>
          <cell r="X873">
            <v>0</v>
          </cell>
          <cell r="Y873">
            <v>4000000</v>
          </cell>
          <cell r="Z873">
            <v>5000000</v>
          </cell>
          <cell r="AA873">
            <v>5680000</v>
          </cell>
          <cell r="AB873">
            <v>22970000</v>
          </cell>
        </row>
        <row r="874">
          <cell r="B874" t="str">
            <v>芙蓉书院项目</v>
          </cell>
        </row>
        <row r="874">
          <cell r="G874" t="str">
            <v>住宅-精装普宅</v>
          </cell>
          <cell r="H874" t="str">
            <v>套数（套）</v>
          </cell>
        </row>
        <row r="874">
          <cell r="N874">
            <v>487</v>
          </cell>
        </row>
        <row r="874">
          <cell r="V874">
            <v>21</v>
          </cell>
          <cell r="W874">
            <v>30</v>
          </cell>
          <cell r="X874">
            <v>41</v>
          </cell>
          <cell r="Y874">
            <v>40</v>
          </cell>
          <cell r="Z874">
            <v>40</v>
          </cell>
          <cell r="AA874">
            <v>45</v>
          </cell>
          <cell r="AB874">
            <v>106</v>
          </cell>
        </row>
        <row r="875">
          <cell r="B875" t="str">
            <v>芙蓉书院项目</v>
          </cell>
        </row>
        <row r="875">
          <cell r="G875" t="str">
            <v>住宅-毛坯普宅</v>
          </cell>
          <cell r="H875" t="str">
            <v>套数（套）</v>
          </cell>
        </row>
        <row r="875"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</row>
        <row r="876">
          <cell r="B876" t="str">
            <v>芙蓉书院项目</v>
          </cell>
        </row>
        <row r="876">
          <cell r="G876" t="str">
            <v>住宅-精装非普宅</v>
          </cell>
          <cell r="H876" t="str">
            <v>套数（套）</v>
          </cell>
        </row>
        <row r="876">
          <cell r="N876">
            <v>8</v>
          </cell>
        </row>
        <row r="876"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8</v>
          </cell>
        </row>
        <row r="877">
          <cell r="B877" t="str">
            <v>芙蓉书院项目</v>
          </cell>
        </row>
        <row r="877">
          <cell r="G877" t="str">
            <v>住宅-毛坯非普宅</v>
          </cell>
          <cell r="H877" t="str">
            <v>套数（套）</v>
          </cell>
        </row>
        <row r="877"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</row>
        <row r="878">
          <cell r="B878" t="str">
            <v>芙蓉书院项目</v>
          </cell>
        </row>
        <row r="878">
          <cell r="G878" t="str">
            <v>住宅-毛坯非普宅</v>
          </cell>
          <cell r="H878" t="str">
            <v>套数（套）</v>
          </cell>
        </row>
        <row r="878"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</row>
        <row r="879">
          <cell r="B879" t="str">
            <v>芙蓉书院项目</v>
          </cell>
        </row>
        <row r="879">
          <cell r="G879" t="str">
            <v>办公楼</v>
          </cell>
          <cell r="H879" t="str">
            <v>套数（套）</v>
          </cell>
        </row>
        <row r="879"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</row>
        <row r="880">
          <cell r="B880" t="str">
            <v>芙蓉书院项目</v>
          </cell>
        </row>
        <row r="880">
          <cell r="G880" t="str">
            <v>商业</v>
          </cell>
          <cell r="H880" t="str">
            <v>套数（套）</v>
          </cell>
        </row>
        <row r="880">
          <cell r="N880">
            <v>10</v>
          </cell>
        </row>
        <row r="880"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</row>
        <row r="881">
          <cell r="B881" t="str">
            <v>芙蓉书院项目</v>
          </cell>
        </row>
        <row r="881">
          <cell r="G881" t="str">
            <v>车位</v>
          </cell>
          <cell r="H881" t="str">
            <v>套数（套）</v>
          </cell>
        </row>
        <row r="881">
          <cell r="N881">
            <v>179</v>
          </cell>
        </row>
        <row r="881">
          <cell r="V881">
            <v>3</v>
          </cell>
          <cell r="W881">
            <v>0</v>
          </cell>
          <cell r="X881">
            <v>14</v>
          </cell>
          <cell r="Y881">
            <v>15</v>
          </cell>
          <cell r="Z881">
            <v>15</v>
          </cell>
          <cell r="AA881">
            <v>25</v>
          </cell>
          <cell r="AB881">
            <v>706</v>
          </cell>
        </row>
        <row r="882">
          <cell r="B882" t="str">
            <v>芙蓉书院项目</v>
          </cell>
        </row>
        <row r="882">
          <cell r="G882" t="str">
            <v>住宅-精装普宅</v>
          </cell>
          <cell r="H882" t="str">
            <v>面积（㎡）</v>
          </cell>
        </row>
        <row r="882">
          <cell r="N882">
            <v>46919.95</v>
          </cell>
        </row>
        <row r="882">
          <cell r="V882">
            <v>2297.87</v>
          </cell>
          <cell r="W882">
            <v>3341.49</v>
          </cell>
          <cell r="X882">
            <v>4540.53</v>
          </cell>
          <cell r="Y882">
            <v>4439.56</v>
          </cell>
          <cell r="Z882">
            <v>4438.2</v>
          </cell>
          <cell r="AA882">
            <v>4993.74</v>
          </cell>
          <cell r="AB882">
            <v>11415.11</v>
          </cell>
        </row>
        <row r="883">
          <cell r="B883" t="str">
            <v>芙蓉书院项目</v>
          </cell>
        </row>
        <row r="883">
          <cell r="G883" t="str">
            <v>住宅-毛坯普宅</v>
          </cell>
          <cell r="H883" t="str">
            <v>面积（㎡）</v>
          </cell>
        </row>
        <row r="883"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</row>
        <row r="884">
          <cell r="B884" t="str">
            <v>芙蓉书院项目</v>
          </cell>
        </row>
        <row r="884">
          <cell r="G884" t="str">
            <v>住宅-精装非普宅</v>
          </cell>
          <cell r="H884" t="str">
            <v>面积（㎡）</v>
          </cell>
        </row>
        <row r="884">
          <cell r="N884">
            <v>1204.08</v>
          </cell>
        </row>
        <row r="884"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1208.58</v>
          </cell>
        </row>
        <row r="885">
          <cell r="B885" t="str">
            <v>芙蓉书院项目</v>
          </cell>
        </row>
        <row r="885">
          <cell r="G885" t="str">
            <v>住宅-毛坯非普宅</v>
          </cell>
          <cell r="H885" t="str">
            <v>面积（㎡）</v>
          </cell>
        </row>
        <row r="885"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</row>
        <row r="886">
          <cell r="B886" t="str">
            <v>芙蓉书院项目</v>
          </cell>
        </row>
        <row r="886">
          <cell r="G886" t="str">
            <v>住宅-毛坯非普宅</v>
          </cell>
          <cell r="H886" t="str">
            <v>面积（㎡）</v>
          </cell>
        </row>
        <row r="886"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</row>
        <row r="887">
          <cell r="B887" t="str">
            <v>芙蓉书院项目</v>
          </cell>
        </row>
        <row r="887">
          <cell r="G887" t="str">
            <v>办公楼</v>
          </cell>
          <cell r="H887" t="str">
            <v>面积（㎡）</v>
          </cell>
        </row>
        <row r="887"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</row>
        <row r="888">
          <cell r="B888" t="str">
            <v>芙蓉书院项目</v>
          </cell>
        </row>
        <row r="888">
          <cell r="G888" t="str">
            <v>商业</v>
          </cell>
          <cell r="H888" t="str">
            <v>面积（㎡）</v>
          </cell>
        </row>
        <row r="888">
          <cell r="N888">
            <v>253.66</v>
          </cell>
        </row>
        <row r="888"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</row>
        <row r="889">
          <cell r="B889" t="str">
            <v>芙蓉书院项目</v>
          </cell>
        </row>
        <row r="889">
          <cell r="G889" t="str">
            <v>车位</v>
          </cell>
          <cell r="H889" t="str">
            <v>面积（㎡）</v>
          </cell>
        </row>
        <row r="889">
          <cell r="N889">
            <v>6051.48</v>
          </cell>
        </row>
        <row r="889">
          <cell r="V889">
            <v>100.71</v>
          </cell>
          <cell r="W889">
            <v>0</v>
          </cell>
          <cell r="X889">
            <v>503.55</v>
          </cell>
          <cell r="Y889">
            <v>503.55</v>
          </cell>
          <cell r="Z889">
            <v>537.12</v>
          </cell>
          <cell r="AA889">
            <v>839.25</v>
          </cell>
          <cell r="AB889">
            <v>23748.9</v>
          </cell>
        </row>
        <row r="890">
          <cell r="B890" t="str">
            <v>芙蓉书院项目</v>
          </cell>
        </row>
        <row r="890">
          <cell r="G890" t="str">
            <v>住宅-精装普宅</v>
          </cell>
          <cell r="H890" t="str">
            <v>签约(元）</v>
          </cell>
        </row>
        <row r="890">
          <cell r="N890">
            <v>1255543723</v>
          </cell>
        </row>
        <row r="890">
          <cell r="V890">
            <v>43322804</v>
          </cell>
          <cell r="W890">
            <v>66428818</v>
          </cell>
          <cell r="X890">
            <v>90513026</v>
          </cell>
          <cell r="Y890">
            <v>88258461</v>
          </cell>
          <cell r="Z890">
            <v>88231419</v>
          </cell>
          <cell r="AA890">
            <v>99275554</v>
          </cell>
          <cell r="AB890">
            <v>226932382</v>
          </cell>
        </row>
        <row r="891">
          <cell r="B891" t="str">
            <v>芙蓉书院项目</v>
          </cell>
        </row>
        <row r="891">
          <cell r="G891" t="str">
            <v>住宅-毛坯普宅</v>
          </cell>
          <cell r="H891" t="str">
            <v>签约(元）</v>
          </cell>
        </row>
        <row r="891"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</row>
        <row r="892">
          <cell r="B892" t="str">
            <v>芙蓉书院项目</v>
          </cell>
        </row>
        <row r="892">
          <cell r="G892" t="str">
            <v>住宅-精装非普宅</v>
          </cell>
          <cell r="H892" t="str">
            <v>签约(元）</v>
          </cell>
        </row>
        <row r="892">
          <cell r="N892">
            <v>37938494</v>
          </cell>
        </row>
        <row r="892"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24026569</v>
          </cell>
        </row>
        <row r="893">
          <cell r="B893" t="str">
            <v>芙蓉书院项目</v>
          </cell>
        </row>
        <row r="893">
          <cell r="G893" t="str">
            <v>住宅-毛坯非普宅</v>
          </cell>
          <cell r="H893" t="str">
            <v>签约(元）</v>
          </cell>
        </row>
        <row r="893"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</row>
        <row r="894">
          <cell r="B894" t="str">
            <v>芙蓉书院项目</v>
          </cell>
        </row>
        <row r="894">
          <cell r="G894" t="str">
            <v>住宅-毛坯非普宅</v>
          </cell>
          <cell r="H894" t="str">
            <v>签约(元）</v>
          </cell>
        </row>
        <row r="894"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</row>
        <row r="895">
          <cell r="B895" t="str">
            <v>芙蓉书院项目</v>
          </cell>
        </row>
        <row r="895">
          <cell r="G895" t="str">
            <v>办公楼</v>
          </cell>
          <cell r="H895" t="str">
            <v>签约(元）</v>
          </cell>
        </row>
        <row r="895"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</row>
        <row r="896">
          <cell r="B896" t="str">
            <v>芙蓉书院项目</v>
          </cell>
        </row>
        <row r="896">
          <cell r="G896" t="str">
            <v>商业</v>
          </cell>
          <cell r="H896" t="str">
            <v>签约(元）</v>
          </cell>
        </row>
        <row r="896">
          <cell r="N896">
            <v>9625715</v>
          </cell>
        </row>
        <row r="896"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</row>
        <row r="897">
          <cell r="B897" t="str">
            <v>芙蓉书院项目</v>
          </cell>
        </row>
        <row r="897">
          <cell r="G897" t="str">
            <v>车位</v>
          </cell>
          <cell r="H897" t="str">
            <v>签约(元）</v>
          </cell>
        </row>
        <row r="897">
          <cell r="N897">
            <v>26460000</v>
          </cell>
        </row>
        <row r="897">
          <cell r="V897">
            <v>450000</v>
          </cell>
          <cell r="W897">
            <v>0</v>
          </cell>
          <cell r="X897">
            <v>2025000</v>
          </cell>
          <cell r="Y897">
            <v>2025000</v>
          </cell>
          <cell r="Z897">
            <v>2025000</v>
          </cell>
          <cell r="AA897">
            <v>3375000</v>
          </cell>
          <cell r="AB897">
            <v>95160000</v>
          </cell>
        </row>
        <row r="898">
          <cell r="B898" t="str">
            <v>芙蓉书院项目</v>
          </cell>
        </row>
        <row r="898">
          <cell r="G898" t="str">
            <v>住宅-精装普宅</v>
          </cell>
          <cell r="H898" t="str">
            <v>回款含税(元）</v>
          </cell>
        </row>
        <row r="898">
          <cell r="N898">
            <v>1237043723</v>
          </cell>
        </row>
        <row r="898">
          <cell r="V898">
            <v>61526797</v>
          </cell>
          <cell r="W898">
            <v>60598818</v>
          </cell>
          <cell r="X898">
            <v>81939033</v>
          </cell>
          <cell r="Y898">
            <v>88278461</v>
          </cell>
          <cell r="Z898">
            <v>88221419</v>
          </cell>
          <cell r="AA898">
            <v>97175554</v>
          </cell>
          <cell r="AB898">
            <v>243722382</v>
          </cell>
        </row>
        <row r="899">
          <cell r="B899" t="str">
            <v>芙蓉书院项目</v>
          </cell>
        </row>
        <row r="899">
          <cell r="G899" t="str">
            <v>住宅-毛坯普宅</v>
          </cell>
          <cell r="H899" t="str">
            <v>回款含税(元）</v>
          </cell>
        </row>
        <row r="899">
          <cell r="N899">
            <v>0</v>
          </cell>
        </row>
        <row r="899"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</row>
        <row r="900">
          <cell r="B900" t="str">
            <v>芙蓉书院项目</v>
          </cell>
        </row>
        <row r="900">
          <cell r="G900" t="str">
            <v>住宅-精装非普宅</v>
          </cell>
          <cell r="H900" t="str">
            <v>回款含税(元）</v>
          </cell>
        </row>
        <row r="900">
          <cell r="N900">
            <v>37938494</v>
          </cell>
        </row>
        <row r="900"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24026569</v>
          </cell>
        </row>
        <row r="901">
          <cell r="B901" t="str">
            <v>芙蓉书院项目</v>
          </cell>
        </row>
        <row r="901">
          <cell r="G901" t="str">
            <v>住宅-毛坯非普宅</v>
          </cell>
          <cell r="H901" t="str">
            <v>回款含税(元）</v>
          </cell>
        </row>
        <row r="901">
          <cell r="N901">
            <v>0</v>
          </cell>
        </row>
        <row r="901"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</row>
        <row r="902">
          <cell r="B902" t="str">
            <v>芙蓉书院项目</v>
          </cell>
        </row>
        <row r="902">
          <cell r="G902" t="str">
            <v>住宅-毛坯非普宅</v>
          </cell>
          <cell r="H902" t="str">
            <v>回款含税(元）</v>
          </cell>
        </row>
        <row r="902">
          <cell r="N902">
            <v>0</v>
          </cell>
        </row>
        <row r="902"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</row>
        <row r="903">
          <cell r="B903" t="str">
            <v>芙蓉书院项目</v>
          </cell>
        </row>
        <row r="903">
          <cell r="G903" t="str">
            <v>办公楼</v>
          </cell>
          <cell r="H903" t="str">
            <v>回款含税(元）</v>
          </cell>
        </row>
        <row r="903">
          <cell r="N903">
            <v>0</v>
          </cell>
        </row>
        <row r="903"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</row>
        <row r="904">
          <cell r="B904" t="str">
            <v>芙蓉书院项目</v>
          </cell>
        </row>
        <row r="904">
          <cell r="G904" t="str">
            <v>商业</v>
          </cell>
          <cell r="H904" t="str">
            <v>回款含税(元）</v>
          </cell>
        </row>
        <row r="904">
          <cell r="N904">
            <v>9625715</v>
          </cell>
        </row>
        <row r="904"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</row>
        <row r="905">
          <cell r="B905" t="str">
            <v>芙蓉书院项目</v>
          </cell>
        </row>
        <row r="905">
          <cell r="G905" t="str">
            <v>车位</v>
          </cell>
          <cell r="H905" t="str">
            <v>回款含税(元）</v>
          </cell>
        </row>
        <row r="905">
          <cell r="N905">
            <v>26460000</v>
          </cell>
        </row>
        <row r="905">
          <cell r="V905">
            <v>450000</v>
          </cell>
          <cell r="W905">
            <v>0</v>
          </cell>
          <cell r="X905">
            <v>1875000</v>
          </cell>
          <cell r="Y905">
            <v>2025000</v>
          </cell>
          <cell r="Z905">
            <v>2025000</v>
          </cell>
          <cell r="AA905">
            <v>3375000</v>
          </cell>
          <cell r="AB905">
            <v>95310000</v>
          </cell>
        </row>
        <row r="906">
          <cell r="B906" t="str">
            <v>芙蓉书院项目</v>
          </cell>
        </row>
        <row r="906">
          <cell r="G906" t="str">
            <v>住宅-精装普宅</v>
          </cell>
          <cell r="H906" t="str">
            <v>回款含税(元）（非贷款类回款）</v>
          </cell>
        </row>
        <row r="906">
          <cell r="N906">
            <v>653689723</v>
          </cell>
        </row>
        <row r="906">
          <cell r="V906">
            <v>29866797</v>
          </cell>
          <cell r="W906">
            <v>23408818</v>
          </cell>
          <cell r="X906">
            <v>32659033</v>
          </cell>
          <cell r="Y906">
            <v>31188461</v>
          </cell>
          <cell r="Z906">
            <v>30901419</v>
          </cell>
          <cell r="AA906">
            <v>34795554</v>
          </cell>
          <cell r="AB906">
            <v>79942382</v>
          </cell>
        </row>
        <row r="907">
          <cell r="B907" t="str">
            <v>芙蓉书院项目</v>
          </cell>
        </row>
        <row r="907">
          <cell r="G907" t="str">
            <v>住宅-毛坯普宅</v>
          </cell>
          <cell r="H907" t="str">
            <v>回款含税(元）（非贷款类回款）</v>
          </cell>
        </row>
        <row r="907"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</row>
        <row r="908">
          <cell r="B908" t="str">
            <v>芙蓉书院项目</v>
          </cell>
        </row>
        <row r="908">
          <cell r="G908" t="str">
            <v>住宅-精装非普宅</v>
          </cell>
          <cell r="H908" t="str">
            <v>回款含税(元）（非贷款类回款）</v>
          </cell>
        </row>
        <row r="908">
          <cell r="N908">
            <v>17778494</v>
          </cell>
        </row>
        <row r="908"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8386569</v>
          </cell>
        </row>
        <row r="909">
          <cell r="B909" t="str">
            <v>芙蓉书院项目</v>
          </cell>
        </row>
        <row r="909">
          <cell r="G909" t="str">
            <v>住宅-毛坯非普宅</v>
          </cell>
          <cell r="H909" t="str">
            <v>回款含税(元）（非贷款类回款）</v>
          </cell>
        </row>
        <row r="909"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</row>
        <row r="910">
          <cell r="B910" t="str">
            <v>芙蓉书院项目</v>
          </cell>
        </row>
        <row r="910">
          <cell r="G910" t="str">
            <v>住宅-毛坯非普宅</v>
          </cell>
          <cell r="H910" t="str">
            <v>回款含税(元）（非贷款类回款）</v>
          </cell>
        </row>
        <row r="910"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</row>
        <row r="911">
          <cell r="B911" t="str">
            <v>芙蓉书院项目</v>
          </cell>
        </row>
        <row r="911">
          <cell r="G911" t="str">
            <v>办公楼</v>
          </cell>
          <cell r="H911" t="str">
            <v>回款含税(元）（非贷款类回款）</v>
          </cell>
        </row>
        <row r="911"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</row>
        <row r="912">
          <cell r="B912" t="str">
            <v>芙蓉书院项目</v>
          </cell>
        </row>
        <row r="912">
          <cell r="G912" t="str">
            <v>商业</v>
          </cell>
          <cell r="H912" t="str">
            <v>回款含税(元）（非贷款类回款）</v>
          </cell>
        </row>
        <row r="912">
          <cell r="N912">
            <v>9625715</v>
          </cell>
        </row>
        <row r="912"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</row>
        <row r="913">
          <cell r="B913" t="str">
            <v>芙蓉书院项目</v>
          </cell>
        </row>
        <row r="913">
          <cell r="G913" t="str">
            <v>车位</v>
          </cell>
          <cell r="H913" t="str">
            <v>回款含税(元）（非贷款类回款）</v>
          </cell>
        </row>
        <row r="913">
          <cell r="N913">
            <v>25214000</v>
          </cell>
        </row>
        <row r="913">
          <cell r="V913">
            <v>450000</v>
          </cell>
          <cell r="W913">
            <v>0</v>
          </cell>
          <cell r="X913">
            <v>1875000</v>
          </cell>
          <cell r="Y913">
            <v>2025000</v>
          </cell>
          <cell r="Z913">
            <v>2025000</v>
          </cell>
          <cell r="AA913">
            <v>3375000</v>
          </cell>
          <cell r="AB913">
            <v>95310000</v>
          </cell>
        </row>
        <row r="914">
          <cell r="B914" t="str">
            <v>芙蓉书院项目</v>
          </cell>
        </row>
        <row r="914">
          <cell r="G914" t="str">
            <v>住宅-精装普宅</v>
          </cell>
          <cell r="H914" t="str">
            <v>回款含税(元）（贷款类回款）</v>
          </cell>
        </row>
        <row r="914">
          <cell r="N914">
            <v>583354000</v>
          </cell>
        </row>
        <row r="914">
          <cell r="V914">
            <v>31660000</v>
          </cell>
          <cell r="W914">
            <v>37190000</v>
          </cell>
          <cell r="X914">
            <v>49280000</v>
          </cell>
          <cell r="Y914">
            <v>57090000</v>
          </cell>
          <cell r="Z914">
            <v>57320000</v>
          </cell>
          <cell r="AA914">
            <v>62380000</v>
          </cell>
          <cell r="AB914">
            <v>163780000</v>
          </cell>
        </row>
        <row r="915">
          <cell r="B915" t="str">
            <v>芙蓉书院项目</v>
          </cell>
        </row>
        <row r="915">
          <cell r="G915" t="str">
            <v>住宅-毛坯普宅</v>
          </cell>
          <cell r="H915" t="str">
            <v>回款含税(元）（贷款类回款）</v>
          </cell>
        </row>
        <row r="915"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</row>
        <row r="916">
          <cell r="B916" t="str">
            <v>芙蓉书院项目</v>
          </cell>
        </row>
        <row r="916">
          <cell r="G916" t="str">
            <v>住宅-精装非普宅</v>
          </cell>
          <cell r="H916" t="str">
            <v>回款含税(元）（贷款类回款）</v>
          </cell>
        </row>
        <row r="916">
          <cell r="N916">
            <v>20160000</v>
          </cell>
        </row>
        <row r="916"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15640000</v>
          </cell>
        </row>
        <row r="917">
          <cell r="B917" t="str">
            <v>芙蓉书院项目</v>
          </cell>
        </row>
        <row r="917">
          <cell r="G917" t="str">
            <v>住宅-毛坯非普宅</v>
          </cell>
          <cell r="H917" t="str">
            <v>回款含税(元）（贷款类回款）</v>
          </cell>
        </row>
        <row r="917"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</row>
        <row r="918">
          <cell r="B918" t="str">
            <v>芙蓉书院项目</v>
          </cell>
        </row>
        <row r="918">
          <cell r="G918" t="str">
            <v>住宅-毛坯非普宅</v>
          </cell>
          <cell r="H918" t="str">
            <v>回款含税(元）（贷款类回款）</v>
          </cell>
        </row>
        <row r="918"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</row>
        <row r="919">
          <cell r="B919" t="str">
            <v>芙蓉书院项目</v>
          </cell>
        </row>
        <row r="919">
          <cell r="G919" t="str">
            <v>办公楼</v>
          </cell>
          <cell r="H919" t="str">
            <v>回款含税(元）（贷款类回款）</v>
          </cell>
        </row>
        <row r="919"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</row>
        <row r="920">
          <cell r="B920" t="str">
            <v>芙蓉书院项目</v>
          </cell>
        </row>
        <row r="920">
          <cell r="G920" t="str">
            <v>商业</v>
          </cell>
          <cell r="H920" t="str">
            <v>回款含税(元）（贷款类回款）</v>
          </cell>
        </row>
        <row r="920"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</row>
        <row r="921">
          <cell r="B921" t="str">
            <v>芙蓉书院项目</v>
          </cell>
        </row>
        <row r="921">
          <cell r="G921" t="str">
            <v>车位</v>
          </cell>
          <cell r="H921" t="str">
            <v>回款含税(元）（贷款类回款）</v>
          </cell>
        </row>
        <row r="921">
          <cell r="N921">
            <v>1246000</v>
          </cell>
        </row>
        <row r="921"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</row>
        <row r="922">
          <cell r="B922" t="str">
            <v>锦绣香里项目</v>
          </cell>
        </row>
        <row r="922">
          <cell r="G922" t="str">
            <v>住宅-精装普宅</v>
          </cell>
          <cell r="H922" t="str">
            <v>套数（套）</v>
          </cell>
        </row>
        <row r="922">
          <cell r="N922">
            <v>225</v>
          </cell>
        </row>
        <row r="922">
          <cell r="V922">
            <v>2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30</v>
          </cell>
          <cell r="AB922">
            <v>670</v>
          </cell>
        </row>
        <row r="923">
          <cell r="B923" t="str">
            <v>锦绣香里项目</v>
          </cell>
        </row>
        <row r="923">
          <cell r="G923" t="str">
            <v>住宅-毛坯普宅</v>
          </cell>
          <cell r="H923" t="str">
            <v>套数（套）</v>
          </cell>
        </row>
        <row r="923">
          <cell r="N923">
            <v>254</v>
          </cell>
        </row>
        <row r="923">
          <cell r="V923">
            <v>2</v>
          </cell>
          <cell r="W923">
            <v>20</v>
          </cell>
          <cell r="X923">
            <v>30</v>
          </cell>
          <cell r="Y923">
            <v>30</v>
          </cell>
          <cell r="Z923">
            <v>30</v>
          </cell>
          <cell r="AA923">
            <v>0</v>
          </cell>
          <cell r="AB923">
            <v>165</v>
          </cell>
        </row>
        <row r="924">
          <cell r="B924" t="str">
            <v>锦绣香里项目</v>
          </cell>
        </row>
        <row r="924">
          <cell r="G924" t="str">
            <v>住宅-精装非普宅</v>
          </cell>
          <cell r="H924" t="str">
            <v>套数（套）</v>
          </cell>
        </row>
        <row r="924">
          <cell r="N924">
            <v>1</v>
          </cell>
        </row>
        <row r="924"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7</v>
          </cell>
        </row>
        <row r="925">
          <cell r="B925" t="str">
            <v>锦绣香里项目</v>
          </cell>
        </row>
        <row r="925">
          <cell r="G925" t="str">
            <v>住宅-毛坯非普宅</v>
          </cell>
          <cell r="H925" t="str">
            <v>套数（套）</v>
          </cell>
        </row>
        <row r="925">
          <cell r="N925">
            <v>12</v>
          </cell>
        </row>
        <row r="925"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37</v>
          </cell>
        </row>
        <row r="926">
          <cell r="B926" t="str">
            <v>锦绣香里项目</v>
          </cell>
        </row>
        <row r="926">
          <cell r="G926" t="str">
            <v>住宅-毛坯非普宅</v>
          </cell>
          <cell r="H926" t="str">
            <v>套数（套）</v>
          </cell>
        </row>
        <row r="926"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</row>
        <row r="927">
          <cell r="B927" t="str">
            <v>锦绣香里项目</v>
          </cell>
        </row>
        <row r="927">
          <cell r="G927" t="str">
            <v>办公楼</v>
          </cell>
          <cell r="H927" t="str">
            <v>套数（套）</v>
          </cell>
        </row>
        <row r="927"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</row>
        <row r="928">
          <cell r="B928" t="str">
            <v>锦绣香里项目</v>
          </cell>
        </row>
        <row r="928">
          <cell r="G928" t="str">
            <v>商业</v>
          </cell>
          <cell r="H928" t="str">
            <v>套数（套）</v>
          </cell>
        </row>
        <row r="928">
          <cell r="N928">
            <v>1</v>
          </cell>
        </row>
        <row r="928"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138</v>
          </cell>
        </row>
        <row r="929">
          <cell r="B929" t="str">
            <v>锦绣香里项目</v>
          </cell>
        </row>
        <row r="929">
          <cell r="G929" t="str">
            <v>车位</v>
          </cell>
          <cell r="H929" t="str">
            <v>套数（套）</v>
          </cell>
        </row>
        <row r="929">
          <cell r="N929">
            <v>170</v>
          </cell>
        </row>
        <row r="929">
          <cell r="V929">
            <v>2</v>
          </cell>
          <cell r="W929">
            <v>0</v>
          </cell>
          <cell r="X929">
            <v>10</v>
          </cell>
          <cell r="Y929">
            <v>10</v>
          </cell>
          <cell r="Z929">
            <v>10</v>
          </cell>
          <cell r="AA929">
            <v>10</v>
          </cell>
          <cell r="AB929">
            <v>1106</v>
          </cell>
        </row>
        <row r="930">
          <cell r="B930" t="str">
            <v>锦绣香里项目</v>
          </cell>
        </row>
        <row r="930">
          <cell r="G930" t="str">
            <v>住宅-精装普宅</v>
          </cell>
          <cell r="H930" t="str">
            <v>面积（㎡）</v>
          </cell>
        </row>
        <row r="930">
          <cell r="N930">
            <v>23338.08</v>
          </cell>
        </row>
        <row r="930">
          <cell r="V930">
            <v>235.58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2544.65</v>
          </cell>
          <cell r="AB930">
            <v>58725.79</v>
          </cell>
        </row>
        <row r="931">
          <cell r="B931" t="str">
            <v>锦绣香里项目</v>
          </cell>
        </row>
        <row r="931">
          <cell r="G931" t="str">
            <v>住宅-毛坯普宅</v>
          </cell>
          <cell r="H931" t="str">
            <v>面积（㎡）</v>
          </cell>
        </row>
        <row r="931">
          <cell r="N931">
            <v>26798.54</v>
          </cell>
        </row>
        <row r="931">
          <cell r="V931">
            <v>217.54</v>
          </cell>
          <cell r="W931">
            <v>2272.05</v>
          </cell>
          <cell r="X931">
            <v>3418.16</v>
          </cell>
          <cell r="Y931">
            <v>3412.37</v>
          </cell>
          <cell r="Z931">
            <v>3407.26</v>
          </cell>
          <cell r="AA931">
            <v>0</v>
          </cell>
          <cell r="AB931">
            <v>13828.4</v>
          </cell>
        </row>
        <row r="932">
          <cell r="B932" t="str">
            <v>锦绣香里项目</v>
          </cell>
        </row>
        <row r="932">
          <cell r="G932" t="str">
            <v>住宅-精装非普宅</v>
          </cell>
          <cell r="H932" t="str">
            <v>面积（㎡）</v>
          </cell>
        </row>
        <row r="932">
          <cell r="N932">
            <v>155.4</v>
          </cell>
        </row>
        <row r="932"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1089.5</v>
          </cell>
        </row>
        <row r="933">
          <cell r="B933" t="str">
            <v>锦绣香里项目</v>
          </cell>
        </row>
        <row r="933">
          <cell r="G933" t="str">
            <v>住宅-毛坯非普宅</v>
          </cell>
          <cell r="H933" t="str">
            <v>面积（㎡）</v>
          </cell>
        </row>
        <row r="933">
          <cell r="N933">
            <v>1854.08</v>
          </cell>
        </row>
        <row r="933"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5813.14</v>
          </cell>
        </row>
        <row r="934">
          <cell r="B934" t="str">
            <v>锦绣香里项目</v>
          </cell>
        </row>
        <row r="934">
          <cell r="G934" t="str">
            <v>住宅-毛坯非普宅</v>
          </cell>
          <cell r="H934" t="str">
            <v>面积（㎡）</v>
          </cell>
        </row>
        <row r="934"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</row>
        <row r="935">
          <cell r="B935" t="str">
            <v>锦绣香里项目</v>
          </cell>
        </row>
        <row r="935">
          <cell r="G935" t="str">
            <v>办公楼</v>
          </cell>
          <cell r="H935" t="str">
            <v>面积（㎡）</v>
          </cell>
        </row>
        <row r="935"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</row>
        <row r="936">
          <cell r="B936" t="str">
            <v>锦绣香里项目</v>
          </cell>
        </row>
        <row r="936">
          <cell r="G936" t="str">
            <v>商业</v>
          </cell>
          <cell r="H936" t="str">
            <v>面积（㎡）</v>
          </cell>
        </row>
        <row r="936">
          <cell r="N936">
            <v>132.83</v>
          </cell>
        </row>
        <row r="936"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18216.2</v>
          </cell>
        </row>
        <row r="937">
          <cell r="B937" t="str">
            <v>锦绣香里项目</v>
          </cell>
        </row>
        <row r="937">
          <cell r="G937" t="str">
            <v>车位</v>
          </cell>
          <cell r="H937" t="str">
            <v>面积（㎡）</v>
          </cell>
        </row>
        <row r="937">
          <cell r="N937">
            <v>4431.9</v>
          </cell>
        </row>
        <row r="937">
          <cell r="V937">
            <v>52.14</v>
          </cell>
          <cell r="W937">
            <v>0</v>
          </cell>
          <cell r="X937">
            <v>260.7</v>
          </cell>
          <cell r="Y937">
            <v>260.7</v>
          </cell>
          <cell r="Z937">
            <v>260.7</v>
          </cell>
          <cell r="AA937">
            <v>260.7</v>
          </cell>
          <cell r="AB937">
            <v>28826.74</v>
          </cell>
        </row>
        <row r="938">
          <cell r="B938" t="str">
            <v>锦绣香里项目</v>
          </cell>
        </row>
        <row r="938">
          <cell r="G938" t="str">
            <v>住宅-精装普宅</v>
          </cell>
          <cell r="H938" t="str">
            <v>签约(元）</v>
          </cell>
        </row>
        <row r="938">
          <cell r="N938">
            <v>184643095</v>
          </cell>
        </row>
        <row r="938">
          <cell r="V938">
            <v>1519899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17049155</v>
          </cell>
          <cell r="AB938">
            <v>393462793</v>
          </cell>
        </row>
        <row r="939">
          <cell r="B939" t="str">
            <v>锦绣香里项目</v>
          </cell>
        </row>
        <row r="939">
          <cell r="G939" t="str">
            <v>住宅-毛坯普宅</v>
          </cell>
          <cell r="H939" t="str">
            <v>签约(元）</v>
          </cell>
        </row>
        <row r="939">
          <cell r="N939">
            <v>151000886</v>
          </cell>
        </row>
        <row r="939">
          <cell r="V939">
            <v>1063951</v>
          </cell>
          <cell r="W939">
            <v>11360250</v>
          </cell>
          <cell r="X939">
            <v>17090800</v>
          </cell>
          <cell r="Y939">
            <v>17061850</v>
          </cell>
          <cell r="Z939">
            <v>17036300</v>
          </cell>
          <cell r="AA939">
            <v>0</v>
          </cell>
          <cell r="AB939">
            <v>69142000</v>
          </cell>
        </row>
        <row r="940">
          <cell r="B940" t="str">
            <v>锦绣香里项目</v>
          </cell>
        </row>
        <row r="940">
          <cell r="G940" t="str">
            <v>住宅-精装非普宅</v>
          </cell>
          <cell r="H940" t="str">
            <v>签约(元）</v>
          </cell>
        </row>
        <row r="940">
          <cell r="N940">
            <v>1257617</v>
          </cell>
        </row>
        <row r="940"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7299650</v>
          </cell>
        </row>
        <row r="941">
          <cell r="B941" t="str">
            <v>锦绣香里项目</v>
          </cell>
        </row>
        <row r="941">
          <cell r="G941" t="str">
            <v>住宅-毛坯非普宅</v>
          </cell>
          <cell r="H941" t="str">
            <v>签约(元）</v>
          </cell>
        </row>
        <row r="941">
          <cell r="N941">
            <v>10492038</v>
          </cell>
        </row>
        <row r="941"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29065700</v>
          </cell>
        </row>
        <row r="942">
          <cell r="B942" t="str">
            <v>锦绣香里项目</v>
          </cell>
        </row>
        <row r="942">
          <cell r="G942" t="str">
            <v>住宅-毛坯非普宅</v>
          </cell>
          <cell r="H942" t="str">
            <v>签约(元）</v>
          </cell>
        </row>
        <row r="942"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</row>
        <row r="943">
          <cell r="B943" t="str">
            <v>锦绣香里项目</v>
          </cell>
        </row>
        <row r="943">
          <cell r="G943" t="str">
            <v>办公楼</v>
          </cell>
          <cell r="H943" t="str">
            <v>签约(元）</v>
          </cell>
        </row>
        <row r="943"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</row>
        <row r="944">
          <cell r="B944" t="str">
            <v>锦绣香里项目</v>
          </cell>
        </row>
        <row r="944">
          <cell r="G944" t="str">
            <v>商业</v>
          </cell>
          <cell r="H944" t="str">
            <v>签约(元）</v>
          </cell>
        </row>
        <row r="944">
          <cell r="N944">
            <v>1582985</v>
          </cell>
        </row>
        <row r="944"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130974478</v>
          </cell>
        </row>
        <row r="945">
          <cell r="B945" t="str">
            <v>锦绣香里项目</v>
          </cell>
        </row>
        <row r="945">
          <cell r="G945" t="str">
            <v>车位</v>
          </cell>
          <cell r="H945" t="str">
            <v>签约(元）</v>
          </cell>
        </row>
        <row r="945">
          <cell r="N945">
            <v>10851000</v>
          </cell>
        </row>
        <row r="945">
          <cell r="V945">
            <v>120000</v>
          </cell>
          <cell r="W945">
            <v>0</v>
          </cell>
          <cell r="X945">
            <v>630000</v>
          </cell>
          <cell r="Y945">
            <v>630000</v>
          </cell>
          <cell r="Z945">
            <v>630000</v>
          </cell>
          <cell r="AA945">
            <v>630000</v>
          </cell>
          <cell r="AB945">
            <v>69678000</v>
          </cell>
        </row>
        <row r="946">
          <cell r="B946" t="str">
            <v>锦绣香里项目</v>
          </cell>
        </row>
        <row r="946">
          <cell r="G946" t="str">
            <v>住宅-精装普宅</v>
          </cell>
          <cell r="H946" t="str">
            <v>回款含税(元）</v>
          </cell>
        </row>
        <row r="946">
          <cell r="N946">
            <v>184693095</v>
          </cell>
        </row>
        <row r="946">
          <cell r="V946">
            <v>986050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14169155</v>
          </cell>
          <cell r="AB946">
            <v>396826642</v>
          </cell>
        </row>
        <row r="947">
          <cell r="B947" t="str">
            <v>锦绣香里项目</v>
          </cell>
        </row>
        <row r="947">
          <cell r="G947" t="str">
            <v>住宅-毛坯普宅</v>
          </cell>
          <cell r="H947" t="str">
            <v>回款含税(元）</v>
          </cell>
        </row>
        <row r="947">
          <cell r="N947">
            <v>149975886</v>
          </cell>
        </row>
        <row r="947">
          <cell r="V947">
            <v>2572800</v>
          </cell>
          <cell r="W947">
            <v>10400250</v>
          </cell>
          <cell r="X947">
            <v>15550800</v>
          </cell>
          <cell r="Y947">
            <v>17041850</v>
          </cell>
          <cell r="Z947">
            <v>17056300</v>
          </cell>
          <cell r="AA947">
            <v>2880000</v>
          </cell>
          <cell r="AB947">
            <v>68278151</v>
          </cell>
        </row>
        <row r="948">
          <cell r="B948" t="str">
            <v>锦绣香里项目</v>
          </cell>
        </row>
        <row r="948">
          <cell r="G948" t="str">
            <v>住宅-精装非普宅</v>
          </cell>
          <cell r="H948" t="str">
            <v>回款含税(元）</v>
          </cell>
        </row>
        <row r="948">
          <cell r="N948">
            <v>1257617</v>
          </cell>
        </row>
        <row r="948"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7299650</v>
          </cell>
        </row>
        <row r="949">
          <cell r="B949" t="str">
            <v>锦绣香里项目</v>
          </cell>
        </row>
        <row r="949">
          <cell r="G949" t="str">
            <v>住宅-毛坯非普宅</v>
          </cell>
          <cell r="H949" t="str">
            <v>回款含税(元）</v>
          </cell>
        </row>
        <row r="949">
          <cell r="N949">
            <v>10492038</v>
          </cell>
        </row>
        <row r="949"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29065700</v>
          </cell>
        </row>
        <row r="950">
          <cell r="B950" t="str">
            <v>锦绣香里项目</v>
          </cell>
        </row>
        <row r="950">
          <cell r="G950" t="str">
            <v>住宅-毛坯非普宅</v>
          </cell>
          <cell r="H950" t="str">
            <v>回款含税(元）</v>
          </cell>
        </row>
        <row r="950">
          <cell r="N950">
            <v>0</v>
          </cell>
        </row>
        <row r="950"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</row>
        <row r="951">
          <cell r="B951" t="str">
            <v>锦绣香里项目</v>
          </cell>
        </row>
        <row r="951">
          <cell r="G951" t="str">
            <v>办公楼</v>
          </cell>
          <cell r="H951" t="str">
            <v>回款含税(元）</v>
          </cell>
        </row>
        <row r="951">
          <cell r="N951">
            <v>0</v>
          </cell>
        </row>
        <row r="951"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</row>
        <row r="952">
          <cell r="B952" t="str">
            <v>锦绣香里项目</v>
          </cell>
        </row>
        <row r="952">
          <cell r="G952" t="str">
            <v>商业</v>
          </cell>
          <cell r="H952" t="str">
            <v>回款含税(元）</v>
          </cell>
        </row>
        <row r="952">
          <cell r="N952">
            <v>1582985</v>
          </cell>
        </row>
        <row r="952"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130974478</v>
          </cell>
        </row>
        <row r="953">
          <cell r="B953" t="str">
            <v>锦绣香里项目</v>
          </cell>
        </row>
        <row r="953">
          <cell r="G953" t="str">
            <v>车位</v>
          </cell>
          <cell r="H953" t="str">
            <v>回款含税(元）</v>
          </cell>
        </row>
        <row r="953">
          <cell r="N953">
            <v>10851000</v>
          </cell>
        </row>
        <row r="953">
          <cell r="V953">
            <v>120000</v>
          </cell>
          <cell r="W953">
            <v>0</v>
          </cell>
          <cell r="X953">
            <v>630000</v>
          </cell>
          <cell r="Y953">
            <v>630000</v>
          </cell>
          <cell r="Z953">
            <v>630000</v>
          </cell>
          <cell r="AA953">
            <v>630000</v>
          </cell>
          <cell r="AB953">
            <v>69678000</v>
          </cell>
        </row>
        <row r="954">
          <cell r="B954" t="str">
            <v>锦绣香里项目</v>
          </cell>
        </row>
        <row r="954">
          <cell r="G954" t="str">
            <v>住宅-精装普宅</v>
          </cell>
          <cell r="H954" t="str">
            <v>回款含税(元）（非贷款类回款）</v>
          </cell>
        </row>
        <row r="954">
          <cell r="N954">
            <v>114581095</v>
          </cell>
        </row>
        <row r="954">
          <cell r="V954">
            <v>138050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5959155</v>
          </cell>
          <cell r="AB954">
            <v>138254642</v>
          </cell>
        </row>
        <row r="955">
          <cell r="B955" t="str">
            <v>锦绣香里项目</v>
          </cell>
        </row>
        <row r="955">
          <cell r="G955" t="str">
            <v>住宅-毛坯普宅</v>
          </cell>
          <cell r="H955" t="str">
            <v>回款含税(元）（非贷款类回款）</v>
          </cell>
        </row>
        <row r="955">
          <cell r="N955">
            <v>77055886</v>
          </cell>
        </row>
        <row r="955">
          <cell r="V955">
            <v>1345800</v>
          </cell>
          <cell r="W955">
            <v>3960250</v>
          </cell>
          <cell r="X955">
            <v>5980800</v>
          </cell>
          <cell r="Y955">
            <v>5981850</v>
          </cell>
          <cell r="Z955">
            <v>5996300</v>
          </cell>
          <cell r="AA955">
            <v>0</v>
          </cell>
          <cell r="AB955">
            <v>23480151</v>
          </cell>
        </row>
        <row r="956">
          <cell r="B956" t="str">
            <v>锦绣香里项目</v>
          </cell>
        </row>
        <row r="956">
          <cell r="G956" t="str">
            <v>住宅-精装非普宅</v>
          </cell>
          <cell r="H956" t="str">
            <v>回款含税(元）（非贷款类回款）</v>
          </cell>
        </row>
        <row r="956">
          <cell r="N956">
            <v>1257617</v>
          </cell>
        </row>
        <row r="956"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2539650</v>
          </cell>
        </row>
        <row r="957">
          <cell r="B957" t="str">
            <v>锦绣香里项目</v>
          </cell>
        </row>
        <row r="957">
          <cell r="G957" t="str">
            <v>住宅-毛坯非普宅</v>
          </cell>
          <cell r="H957" t="str">
            <v>回款含税(元）（非贷款类回款）</v>
          </cell>
        </row>
        <row r="957">
          <cell r="N957">
            <v>5800038</v>
          </cell>
        </row>
        <row r="957"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10245700</v>
          </cell>
        </row>
        <row r="958">
          <cell r="B958" t="str">
            <v>锦绣香里项目</v>
          </cell>
        </row>
        <row r="958">
          <cell r="G958" t="str">
            <v>住宅-毛坯非普宅</v>
          </cell>
          <cell r="H958" t="str">
            <v>回款含税(元）（非贷款类回款）</v>
          </cell>
        </row>
        <row r="958"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</row>
        <row r="959">
          <cell r="B959" t="str">
            <v>锦绣香里项目</v>
          </cell>
        </row>
        <row r="959">
          <cell r="G959" t="str">
            <v>办公楼</v>
          </cell>
          <cell r="H959" t="str">
            <v>回款含税(元）（非贷款类回款）</v>
          </cell>
        </row>
        <row r="959"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</row>
        <row r="960">
          <cell r="B960" t="str">
            <v>锦绣香里项目</v>
          </cell>
        </row>
        <row r="960">
          <cell r="G960" t="str">
            <v>商业</v>
          </cell>
          <cell r="H960" t="str">
            <v>回款含税(元）（非贷款类回款）</v>
          </cell>
        </row>
        <row r="960">
          <cell r="N960">
            <v>1582985</v>
          </cell>
        </row>
        <row r="960"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52394478</v>
          </cell>
        </row>
        <row r="961">
          <cell r="B961" t="str">
            <v>锦绣香里项目</v>
          </cell>
        </row>
        <row r="961">
          <cell r="G961" t="str">
            <v>车位</v>
          </cell>
          <cell r="H961" t="str">
            <v>回款含税(元）（非贷款类回款）</v>
          </cell>
        </row>
        <row r="961">
          <cell r="N961">
            <v>10851000</v>
          </cell>
        </row>
        <row r="961">
          <cell r="V961">
            <v>120000</v>
          </cell>
          <cell r="W961">
            <v>0</v>
          </cell>
          <cell r="X961">
            <v>630000</v>
          </cell>
          <cell r="Y961">
            <v>630000</v>
          </cell>
          <cell r="Z961">
            <v>630000</v>
          </cell>
          <cell r="AA961">
            <v>630000</v>
          </cell>
          <cell r="AB961">
            <v>69678000</v>
          </cell>
        </row>
        <row r="962">
          <cell r="B962" t="str">
            <v>锦绣香里项目</v>
          </cell>
        </row>
        <row r="962">
          <cell r="G962" t="str">
            <v>住宅-精装普宅</v>
          </cell>
          <cell r="H962" t="str">
            <v>回款含税(元）（贷款类回款）</v>
          </cell>
        </row>
        <row r="962">
          <cell r="N962">
            <v>70112000</v>
          </cell>
        </row>
        <row r="962">
          <cell r="V962">
            <v>848000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8210000</v>
          </cell>
          <cell r="AB962">
            <v>258572000</v>
          </cell>
        </row>
        <row r="963">
          <cell r="B963" t="str">
            <v>锦绣香里项目</v>
          </cell>
        </row>
        <row r="963">
          <cell r="G963" t="str">
            <v>住宅-毛坯普宅</v>
          </cell>
          <cell r="H963" t="str">
            <v>回款含税(元）（贷款类回款）</v>
          </cell>
        </row>
        <row r="963">
          <cell r="N963">
            <v>72920000</v>
          </cell>
        </row>
        <row r="963">
          <cell r="V963">
            <v>1227000</v>
          </cell>
          <cell r="W963">
            <v>6440000</v>
          </cell>
          <cell r="X963">
            <v>9570000</v>
          </cell>
          <cell r="Y963">
            <v>11060000</v>
          </cell>
          <cell r="Z963">
            <v>11060000</v>
          </cell>
          <cell r="AA963">
            <v>2880000</v>
          </cell>
          <cell r="AB963">
            <v>44798000</v>
          </cell>
        </row>
        <row r="964">
          <cell r="B964" t="str">
            <v>锦绣香里项目</v>
          </cell>
        </row>
        <row r="964">
          <cell r="G964" t="str">
            <v>住宅-精装非普宅</v>
          </cell>
          <cell r="H964" t="str">
            <v>回款含税(元）（贷款类回款）</v>
          </cell>
        </row>
        <row r="964">
          <cell r="N964">
            <v>0</v>
          </cell>
        </row>
        <row r="964"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4760000</v>
          </cell>
        </row>
        <row r="965">
          <cell r="B965" t="str">
            <v>锦绣香里项目</v>
          </cell>
        </row>
        <row r="965">
          <cell r="G965" t="str">
            <v>住宅-毛坯非普宅</v>
          </cell>
          <cell r="H965" t="str">
            <v>回款含税(元）（贷款类回款）</v>
          </cell>
        </row>
        <row r="965">
          <cell r="N965">
            <v>4692000</v>
          </cell>
        </row>
        <row r="965"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18820000</v>
          </cell>
        </row>
        <row r="966">
          <cell r="B966" t="str">
            <v>锦绣香里项目</v>
          </cell>
        </row>
        <row r="966">
          <cell r="G966" t="str">
            <v>住宅-毛坯非普宅</v>
          </cell>
          <cell r="H966" t="str">
            <v>回款含税(元）（贷款类回款）</v>
          </cell>
        </row>
        <row r="966"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</row>
        <row r="967">
          <cell r="B967" t="str">
            <v>锦绣香里项目</v>
          </cell>
        </row>
        <row r="967">
          <cell r="G967" t="str">
            <v>办公楼</v>
          </cell>
          <cell r="H967" t="str">
            <v>回款含税(元）（贷款类回款）</v>
          </cell>
        </row>
        <row r="967"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</row>
        <row r="968">
          <cell r="B968" t="str">
            <v>锦绣香里项目</v>
          </cell>
        </row>
        <row r="968">
          <cell r="G968" t="str">
            <v>商业</v>
          </cell>
          <cell r="H968" t="str">
            <v>回款含税(元）（贷款类回款）</v>
          </cell>
        </row>
        <row r="968">
          <cell r="N968">
            <v>0</v>
          </cell>
        </row>
        <row r="968"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78580000</v>
          </cell>
        </row>
        <row r="969">
          <cell r="B969" t="str">
            <v>锦绣香里项目</v>
          </cell>
        </row>
        <row r="969">
          <cell r="G969" t="str">
            <v>车位</v>
          </cell>
          <cell r="H969" t="str">
            <v>回款含税(元）（贷款类回款）</v>
          </cell>
        </row>
        <row r="969"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</row>
        <row r="970">
          <cell r="B970" t="str">
            <v>银溪墅府项目</v>
          </cell>
        </row>
        <row r="970">
          <cell r="G970" t="str">
            <v>住宅-精装普宅</v>
          </cell>
          <cell r="H970" t="str">
            <v>套数（套）</v>
          </cell>
        </row>
        <row r="970">
          <cell r="N970">
            <v>2932</v>
          </cell>
        </row>
        <row r="970">
          <cell r="V970">
            <v>-1</v>
          </cell>
          <cell r="W970">
            <v>0</v>
          </cell>
          <cell r="X970">
            <v>5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</row>
        <row r="971">
          <cell r="B971" t="str">
            <v>银溪墅府项目</v>
          </cell>
        </row>
        <row r="971">
          <cell r="G971" t="str">
            <v>住宅-毛坯普宅</v>
          </cell>
          <cell r="H971" t="str">
            <v>套数（套）</v>
          </cell>
        </row>
        <row r="971"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</row>
        <row r="972">
          <cell r="B972" t="str">
            <v>银溪墅府项目</v>
          </cell>
        </row>
        <row r="972">
          <cell r="G972" t="str">
            <v>住宅-精装非普宅</v>
          </cell>
          <cell r="H972" t="str">
            <v>套数（套）</v>
          </cell>
        </row>
        <row r="972">
          <cell r="N972">
            <v>6</v>
          </cell>
        </row>
        <row r="972"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</row>
        <row r="973">
          <cell r="B973" t="str">
            <v>银溪墅府项目</v>
          </cell>
        </row>
        <row r="973">
          <cell r="G973" t="str">
            <v>住宅-毛坯非普宅</v>
          </cell>
          <cell r="H973" t="str">
            <v>套数（套）</v>
          </cell>
        </row>
        <row r="973"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</row>
        <row r="974">
          <cell r="B974" t="str">
            <v>银溪墅府项目</v>
          </cell>
        </row>
        <row r="974">
          <cell r="G974" t="str">
            <v>住宅-毛坯非普宅</v>
          </cell>
          <cell r="H974" t="str">
            <v>套数（套）</v>
          </cell>
        </row>
        <row r="974">
          <cell r="N974">
            <v>211</v>
          </cell>
        </row>
        <row r="974"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</row>
        <row r="975">
          <cell r="B975" t="str">
            <v>银溪墅府项目</v>
          </cell>
        </row>
        <row r="975">
          <cell r="G975" t="str">
            <v>办公楼</v>
          </cell>
          <cell r="H975" t="str">
            <v>套数（套）</v>
          </cell>
        </row>
        <row r="975"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</row>
        <row r="976">
          <cell r="B976" t="str">
            <v>银溪墅府项目</v>
          </cell>
        </row>
        <row r="976">
          <cell r="G976" t="str">
            <v>商业</v>
          </cell>
          <cell r="H976" t="str">
            <v>套数（套）</v>
          </cell>
        </row>
        <row r="976">
          <cell r="N976">
            <v>298</v>
          </cell>
        </row>
        <row r="976">
          <cell r="V976">
            <v>0</v>
          </cell>
          <cell r="W976">
            <v>0</v>
          </cell>
          <cell r="X976">
            <v>2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</row>
        <row r="977">
          <cell r="B977" t="str">
            <v>银溪墅府项目</v>
          </cell>
        </row>
        <row r="977">
          <cell r="G977" t="str">
            <v>车位</v>
          </cell>
          <cell r="H977" t="str">
            <v>套数（套）</v>
          </cell>
        </row>
        <row r="977">
          <cell r="N977">
            <v>2932</v>
          </cell>
        </row>
        <row r="977">
          <cell r="V977">
            <v>0</v>
          </cell>
          <cell r="W977">
            <v>0</v>
          </cell>
          <cell r="X977">
            <v>104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</row>
        <row r="978">
          <cell r="B978" t="str">
            <v>银溪墅府项目</v>
          </cell>
        </row>
        <row r="978">
          <cell r="G978" t="str">
            <v>住宅-精装普宅</v>
          </cell>
          <cell r="H978" t="str">
            <v>面积（㎡）</v>
          </cell>
        </row>
        <row r="978">
          <cell r="N978">
            <v>297192.38</v>
          </cell>
        </row>
        <row r="978">
          <cell r="V978">
            <v>-84.17</v>
          </cell>
          <cell r="W978">
            <v>0</v>
          </cell>
          <cell r="X978">
            <v>442.97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</row>
        <row r="979">
          <cell r="B979" t="str">
            <v>银溪墅府项目</v>
          </cell>
        </row>
        <row r="979">
          <cell r="G979" t="str">
            <v>住宅-毛坯普宅</v>
          </cell>
          <cell r="H979" t="str">
            <v>面积（㎡）</v>
          </cell>
        </row>
        <row r="979"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</row>
        <row r="980">
          <cell r="B980" t="str">
            <v>银溪墅府项目</v>
          </cell>
        </row>
        <row r="980">
          <cell r="G980" t="str">
            <v>住宅-精装非普宅</v>
          </cell>
          <cell r="H980" t="str">
            <v>面积（㎡）</v>
          </cell>
        </row>
        <row r="980">
          <cell r="N980">
            <v>884.29</v>
          </cell>
        </row>
        <row r="980"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</row>
        <row r="981">
          <cell r="B981" t="str">
            <v>银溪墅府项目</v>
          </cell>
        </row>
        <row r="981">
          <cell r="G981" t="str">
            <v>住宅-毛坯非普宅</v>
          </cell>
          <cell r="H981" t="str">
            <v>面积（㎡）</v>
          </cell>
        </row>
        <row r="981"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</row>
        <row r="982">
          <cell r="B982" t="str">
            <v>银溪墅府项目</v>
          </cell>
        </row>
        <row r="982">
          <cell r="G982" t="str">
            <v>住宅-毛坯非普宅</v>
          </cell>
          <cell r="H982" t="str">
            <v>面积（㎡）</v>
          </cell>
        </row>
        <row r="982">
          <cell r="N982">
            <v>42619.9</v>
          </cell>
        </row>
        <row r="982"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</row>
        <row r="983">
          <cell r="B983" t="str">
            <v>银溪墅府项目</v>
          </cell>
        </row>
        <row r="983">
          <cell r="G983" t="str">
            <v>办公楼</v>
          </cell>
          <cell r="H983" t="str">
            <v>面积（㎡）</v>
          </cell>
        </row>
        <row r="983"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</row>
        <row r="984">
          <cell r="B984" t="str">
            <v>银溪墅府项目</v>
          </cell>
        </row>
        <row r="984">
          <cell r="G984" t="str">
            <v>商业</v>
          </cell>
          <cell r="H984" t="str">
            <v>面积（㎡）</v>
          </cell>
        </row>
        <row r="984">
          <cell r="N984">
            <v>23880.7</v>
          </cell>
        </row>
        <row r="984">
          <cell r="V984">
            <v>0</v>
          </cell>
          <cell r="W984">
            <v>0</v>
          </cell>
          <cell r="X984">
            <v>2489.3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</row>
        <row r="985">
          <cell r="B985" t="str">
            <v>银溪墅府项目</v>
          </cell>
        </row>
        <row r="985">
          <cell r="G985" t="str">
            <v>车位</v>
          </cell>
          <cell r="H985" t="str">
            <v>面积（㎡）</v>
          </cell>
        </row>
        <row r="985">
          <cell r="N985">
            <v>122253.31</v>
          </cell>
        </row>
        <row r="985">
          <cell r="V985">
            <v>0</v>
          </cell>
          <cell r="W985">
            <v>0</v>
          </cell>
          <cell r="X985">
            <v>3970.99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</row>
        <row r="986">
          <cell r="B986" t="str">
            <v>银溪墅府项目</v>
          </cell>
        </row>
        <row r="986">
          <cell r="G986" t="str">
            <v>住宅-精装普宅</v>
          </cell>
          <cell r="H986" t="str">
            <v>签约(元）</v>
          </cell>
        </row>
        <row r="986">
          <cell r="N986">
            <v>5662194688</v>
          </cell>
        </row>
        <row r="986">
          <cell r="V986">
            <v>-1599230</v>
          </cell>
          <cell r="W986">
            <v>0</v>
          </cell>
          <cell r="X986">
            <v>8522770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</row>
        <row r="987">
          <cell r="B987" t="str">
            <v>银溪墅府项目</v>
          </cell>
        </row>
        <row r="987">
          <cell r="G987" t="str">
            <v>住宅-毛坯普宅</v>
          </cell>
          <cell r="H987" t="str">
            <v>签约(元）</v>
          </cell>
        </row>
        <row r="987"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</row>
        <row r="988">
          <cell r="B988" t="str">
            <v>银溪墅府项目</v>
          </cell>
        </row>
        <row r="988">
          <cell r="G988" t="str">
            <v>住宅-精装非普宅</v>
          </cell>
          <cell r="H988" t="str">
            <v>签约(元）</v>
          </cell>
        </row>
        <row r="988">
          <cell r="N988">
            <v>26957590</v>
          </cell>
        </row>
        <row r="988"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</row>
        <row r="989">
          <cell r="B989" t="str">
            <v>银溪墅府项目</v>
          </cell>
        </row>
        <row r="989">
          <cell r="G989" t="str">
            <v>住宅-毛坯非普宅</v>
          </cell>
          <cell r="H989" t="str">
            <v>签约(元）</v>
          </cell>
        </row>
        <row r="989"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</row>
        <row r="990">
          <cell r="B990" t="str">
            <v>银溪墅府项目</v>
          </cell>
        </row>
        <row r="990">
          <cell r="G990" t="str">
            <v>住宅-毛坯非普宅</v>
          </cell>
          <cell r="H990" t="str">
            <v>签约(元）</v>
          </cell>
        </row>
        <row r="990">
          <cell r="N990">
            <v>1275812084</v>
          </cell>
        </row>
        <row r="990"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</row>
        <row r="991">
          <cell r="B991" t="str">
            <v>银溪墅府项目</v>
          </cell>
        </row>
        <row r="991">
          <cell r="G991" t="str">
            <v>办公楼</v>
          </cell>
          <cell r="H991" t="str">
            <v>签约(元）</v>
          </cell>
        </row>
        <row r="991"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</row>
        <row r="992">
          <cell r="B992" t="str">
            <v>银溪墅府项目</v>
          </cell>
        </row>
        <row r="992">
          <cell r="G992" t="str">
            <v>商业</v>
          </cell>
          <cell r="H992" t="str">
            <v>签约(元）</v>
          </cell>
        </row>
        <row r="992">
          <cell r="N992">
            <v>428858721</v>
          </cell>
        </row>
        <row r="992">
          <cell r="V992">
            <v>0</v>
          </cell>
          <cell r="W992">
            <v>0</v>
          </cell>
          <cell r="X992">
            <v>40000000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</row>
        <row r="993">
          <cell r="B993" t="str">
            <v>银溪墅府项目</v>
          </cell>
        </row>
        <row r="993">
          <cell r="G993" t="str">
            <v>车位</v>
          </cell>
          <cell r="H993" t="str">
            <v>签约(元）</v>
          </cell>
        </row>
        <row r="993">
          <cell r="N993">
            <v>582450550</v>
          </cell>
        </row>
        <row r="993">
          <cell r="V993">
            <v>0</v>
          </cell>
          <cell r="W993">
            <v>0</v>
          </cell>
          <cell r="X993">
            <v>5200000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</row>
        <row r="994">
          <cell r="B994" t="str">
            <v>银溪墅府项目</v>
          </cell>
        </row>
        <row r="994">
          <cell r="G994" t="str">
            <v>住宅-精装普宅</v>
          </cell>
          <cell r="H994" t="str">
            <v>回款含税(元）</v>
          </cell>
        </row>
        <row r="994">
          <cell r="N994">
            <v>5657125458</v>
          </cell>
        </row>
        <row r="994">
          <cell r="V994">
            <v>-250000</v>
          </cell>
          <cell r="W994">
            <v>0</v>
          </cell>
          <cell r="X994">
            <v>12242770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</row>
        <row r="995">
          <cell r="B995" t="str">
            <v>银溪墅府项目</v>
          </cell>
        </row>
        <row r="995">
          <cell r="G995" t="str">
            <v>住宅-毛坯普宅</v>
          </cell>
          <cell r="H995" t="str">
            <v>回款含税(元）</v>
          </cell>
        </row>
        <row r="995">
          <cell r="N995">
            <v>0</v>
          </cell>
        </row>
        <row r="995"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</row>
        <row r="996">
          <cell r="B996" t="str">
            <v>银溪墅府项目</v>
          </cell>
        </row>
        <row r="996">
          <cell r="G996" t="str">
            <v>住宅-精装非普宅</v>
          </cell>
          <cell r="H996" t="str">
            <v>回款含税(元）</v>
          </cell>
        </row>
        <row r="996">
          <cell r="N996">
            <v>26957590</v>
          </cell>
        </row>
        <row r="996"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</row>
        <row r="997">
          <cell r="B997" t="str">
            <v>银溪墅府项目</v>
          </cell>
        </row>
        <row r="997">
          <cell r="G997" t="str">
            <v>住宅-毛坯非普宅</v>
          </cell>
          <cell r="H997" t="str">
            <v>回款含税(元）</v>
          </cell>
        </row>
        <row r="997">
          <cell r="N997">
            <v>0</v>
          </cell>
        </row>
        <row r="997"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</row>
        <row r="998">
          <cell r="B998" t="str">
            <v>银溪墅府项目</v>
          </cell>
        </row>
        <row r="998">
          <cell r="G998" t="str">
            <v>住宅-毛坯非普宅</v>
          </cell>
          <cell r="H998" t="str">
            <v>回款含税(元）</v>
          </cell>
        </row>
        <row r="998">
          <cell r="N998">
            <v>1275812084</v>
          </cell>
        </row>
        <row r="998"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</row>
        <row r="999">
          <cell r="B999" t="str">
            <v>银溪墅府项目</v>
          </cell>
        </row>
        <row r="999">
          <cell r="G999" t="str">
            <v>办公楼</v>
          </cell>
          <cell r="H999" t="str">
            <v>回款含税(元）</v>
          </cell>
        </row>
        <row r="999">
          <cell r="N999">
            <v>0</v>
          </cell>
        </row>
        <row r="999"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</row>
        <row r="1000">
          <cell r="B1000" t="str">
            <v>银溪墅府项目</v>
          </cell>
        </row>
        <row r="1000">
          <cell r="G1000" t="str">
            <v>商业</v>
          </cell>
          <cell r="H1000" t="str">
            <v>回款含税(元）</v>
          </cell>
        </row>
        <row r="1000">
          <cell r="N1000">
            <v>428858721</v>
          </cell>
        </row>
        <row r="1000">
          <cell r="V1000">
            <v>0</v>
          </cell>
          <cell r="W1000">
            <v>0</v>
          </cell>
          <cell r="X1000">
            <v>40000000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</row>
        <row r="1001">
          <cell r="B1001" t="str">
            <v>银溪墅府项目</v>
          </cell>
        </row>
        <row r="1001">
          <cell r="G1001" t="str">
            <v>车位</v>
          </cell>
          <cell r="H1001" t="str">
            <v>回款含税(元）</v>
          </cell>
        </row>
        <row r="1001">
          <cell r="N1001">
            <v>582450550</v>
          </cell>
        </row>
        <row r="1001">
          <cell r="V1001">
            <v>0</v>
          </cell>
          <cell r="W1001">
            <v>0</v>
          </cell>
          <cell r="X1001">
            <v>5200000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</row>
        <row r="1002">
          <cell r="B1002" t="str">
            <v>银溪墅府项目</v>
          </cell>
        </row>
        <row r="1002">
          <cell r="G1002" t="str">
            <v>住宅-精装普宅</v>
          </cell>
          <cell r="H1002" t="str">
            <v>回款含税(元）（非贷款类回款）</v>
          </cell>
        </row>
        <row r="1002">
          <cell r="N1002">
            <v>2204500458</v>
          </cell>
        </row>
        <row r="1002">
          <cell r="V1002">
            <v>-250000</v>
          </cell>
          <cell r="W1002">
            <v>0</v>
          </cell>
          <cell r="X1002">
            <v>3282770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</row>
        <row r="1003">
          <cell r="B1003" t="str">
            <v>银溪墅府项目</v>
          </cell>
        </row>
        <row r="1003">
          <cell r="G1003" t="str">
            <v>住宅-毛坯普宅</v>
          </cell>
          <cell r="H1003" t="str">
            <v>回款含税(元）（非贷款类回款）</v>
          </cell>
        </row>
        <row r="1003"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</row>
        <row r="1004">
          <cell r="B1004" t="str">
            <v>银溪墅府项目</v>
          </cell>
        </row>
        <row r="1004">
          <cell r="G1004" t="str">
            <v>住宅-精装非普宅</v>
          </cell>
          <cell r="H1004" t="str">
            <v>回款含税(元）（非贷款类回款）</v>
          </cell>
        </row>
        <row r="1004">
          <cell r="N1004">
            <v>10316590</v>
          </cell>
        </row>
        <row r="1004"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</row>
        <row r="1005">
          <cell r="B1005" t="str">
            <v>银溪墅府项目</v>
          </cell>
        </row>
        <row r="1005">
          <cell r="G1005" t="str">
            <v>住宅-毛坯非普宅</v>
          </cell>
          <cell r="H1005" t="str">
            <v>回款含税(元）（非贷款类回款）</v>
          </cell>
        </row>
        <row r="1005"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</row>
        <row r="1006">
          <cell r="B1006" t="str">
            <v>银溪墅府项目</v>
          </cell>
        </row>
        <row r="1006">
          <cell r="G1006" t="str">
            <v>住宅-毛坯非普宅</v>
          </cell>
          <cell r="H1006" t="str">
            <v>回款含税(元）（非贷款类回款）</v>
          </cell>
        </row>
        <row r="1006">
          <cell r="N1006">
            <v>628815084</v>
          </cell>
        </row>
        <row r="1006"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</row>
        <row r="1007">
          <cell r="B1007" t="str">
            <v>银溪墅府项目</v>
          </cell>
        </row>
        <row r="1007">
          <cell r="G1007" t="str">
            <v>办公楼</v>
          </cell>
          <cell r="H1007" t="str">
            <v>回款含税(元）（非贷款类回款）</v>
          </cell>
        </row>
        <row r="1007"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</row>
        <row r="1008">
          <cell r="B1008" t="str">
            <v>银溪墅府项目</v>
          </cell>
        </row>
        <row r="1008">
          <cell r="G1008" t="str">
            <v>商业</v>
          </cell>
          <cell r="H1008" t="str">
            <v>回款含税(元）（非贷款类回款）</v>
          </cell>
        </row>
        <row r="1008">
          <cell r="N1008">
            <v>365095721</v>
          </cell>
        </row>
        <row r="1008">
          <cell r="V1008">
            <v>0</v>
          </cell>
          <cell r="W1008">
            <v>0</v>
          </cell>
          <cell r="X1008">
            <v>20000000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</row>
        <row r="1009">
          <cell r="B1009" t="str">
            <v>银溪墅府项目</v>
          </cell>
        </row>
        <row r="1009">
          <cell r="G1009" t="str">
            <v>车位</v>
          </cell>
          <cell r="H1009" t="str">
            <v>回款含税(元）（非贷款类回款）</v>
          </cell>
        </row>
        <row r="1009">
          <cell r="N1009">
            <v>554343550</v>
          </cell>
        </row>
        <row r="1009">
          <cell r="V1009">
            <v>0</v>
          </cell>
          <cell r="W1009">
            <v>0</v>
          </cell>
          <cell r="X1009">
            <v>2600000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</row>
        <row r="1010">
          <cell r="B1010" t="str">
            <v>银溪墅府项目</v>
          </cell>
        </row>
        <row r="1010">
          <cell r="G1010" t="str">
            <v>住宅-精装普宅</v>
          </cell>
          <cell r="H1010" t="str">
            <v>回款含税(元）（贷款类回款）</v>
          </cell>
        </row>
        <row r="1010">
          <cell r="N1010">
            <v>3452625000</v>
          </cell>
        </row>
        <row r="1010">
          <cell r="V1010">
            <v>0</v>
          </cell>
          <cell r="W1010">
            <v>0</v>
          </cell>
          <cell r="X1010">
            <v>8960000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</row>
        <row r="1011">
          <cell r="B1011" t="str">
            <v>银溪墅府项目</v>
          </cell>
        </row>
        <row r="1011">
          <cell r="G1011" t="str">
            <v>住宅-毛坯普宅</v>
          </cell>
          <cell r="H1011" t="str">
            <v>回款含税(元）（贷款类回款）</v>
          </cell>
        </row>
        <row r="1011"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</row>
        <row r="1012">
          <cell r="B1012" t="str">
            <v>银溪墅府项目</v>
          </cell>
        </row>
        <row r="1012">
          <cell r="G1012" t="str">
            <v>住宅-精装非普宅</v>
          </cell>
          <cell r="H1012" t="str">
            <v>回款含税(元）（贷款类回款）</v>
          </cell>
        </row>
        <row r="1012">
          <cell r="N1012">
            <v>16641000</v>
          </cell>
        </row>
        <row r="1012"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</row>
        <row r="1013">
          <cell r="B1013" t="str">
            <v>银溪墅府项目</v>
          </cell>
        </row>
        <row r="1013">
          <cell r="G1013" t="str">
            <v>住宅-毛坯非普宅</v>
          </cell>
          <cell r="H1013" t="str">
            <v>回款含税(元）（贷款类回款）</v>
          </cell>
        </row>
        <row r="1013"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</row>
        <row r="1014">
          <cell r="B1014" t="str">
            <v>银溪墅府项目</v>
          </cell>
        </row>
        <row r="1014">
          <cell r="G1014" t="str">
            <v>住宅-毛坯非普宅</v>
          </cell>
          <cell r="H1014" t="str">
            <v>回款含税(元）（贷款类回款）</v>
          </cell>
        </row>
        <row r="1014">
          <cell r="N1014">
            <v>646997000</v>
          </cell>
        </row>
        <row r="1014"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</row>
        <row r="1015">
          <cell r="B1015" t="str">
            <v>银溪墅府项目</v>
          </cell>
        </row>
        <row r="1015">
          <cell r="G1015" t="str">
            <v>办公楼</v>
          </cell>
          <cell r="H1015" t="str">
            <v>回款含税(元）（贷款类回款）</v>
          </cell>
        </row>
        <row r="1015"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</row>
        <row r="1016">
          <cell r="B1016" t="str">
            <v>银溪墅府项目</v>
          </cell>
        </row>
        <row r="1016">
          <cell r="G1016" t="str">
            <v>商业</v>
          </cell>
          <cell r="H1016" t="str">
            <v>回款含税(元）（贷款类回款）</v>
          </cell>
        </row>
        <row r="1016">
          <cell r="N1016">
            <v>63763000</v>
          </cell>
        </row>
        <row r="1016">
          <cell r="V1016">
            <v>0</v>
          </cell>
          <cell r="W1016">
            <v>0</v>
          </cell>
          <cell r="X1016">
            <v>20000000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</row>
        <row r="1017">
          <cell r="B1017" t="str">
            <v>银溪墅府项目</v>
          </cell>
        </row>
        <row r="1017">
          <cell r="G1017" t="str">
            <v>车位</v>
          </cell>
          <cell r="H1017" t="str">
            <v>回款含税(元）（贷款类回款）</v>
          </cell>
        </row>
        <row r="1017">
          <cell r="N1017">
            <v>28107000</v>
          </cell>
        </row>
        <row r="1017">
          <cell r="V1017">
            <v>0</v>
          </cell>
          <cell r="W1017">
            <v>0</v>
          </cell>
          <cell r="X1017">
            <v>2600000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</row>
        <row r="1018">
          <cell r="B1018" t="str">
            <v>竞配建项目</v>
          </cell>
        </row>
        <row r="1018">
          <cell r="G1018" t="str">
            <v>住宅-精装普宅</v>
          </cell>
          <cell r="H1018" t="str">
            <v>套数（套）</v>
          </cell>
        </row>
        <row r="1018">
          <cell r="N1018">
            <v>261</v>
          </cell>
        </row>
        <row r="1018">
          <cell r="V1018">
            <v>170</v>
          </cell>
          <cell r="W1018">
            <v>32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</row>
        <row r="1019">
          <cell r="B1019" t="str">
            <v>竞配建项目</v>
          </cell>
        </row>
        <row r="1019">
          <cell r="G1019" t="str">
            <v>住宅-毛坯普宅</v>
          </cell>
          <cell r="H1019" t="str">
            <v>套数（套）</v>
          </cell>
        </row>
        <row r="1019"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</row>
        <row r="1020">
          <cell r="B1020" t="str">
            <v>竞配建项目</v>
          </cell>
        </row>
        <row r="1020">
          <cell r="G1020" t="str">
            <v>住宅-精装非普宅</v>
          </cell>
          <cell r="H1020" t="str">
            <v>套数（套）</v>
          </cell>
        </row>
        <row r="1020">
          <cell r="N1020">
            <v>102</v>
          </cell>
        </row>
        <row r="1020">
          <cell r="V1020">
            <v>13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</row>
        <row r="1021">
          <cell r="B1021" t="str">
            <v>竞配建项目</v>
          </cell>
        </row>
        <row r="1021">
          <cell r="G1021" t="str">
            <v>住宅-毛坯非普宅</v>
          </cell>
          <cell r="H1021" t="str">
            <v>套数（套）</v>
          </cell>
        </row>
        <row r="1021"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</row>
        <row r="1022">
          <cell r="B1022" t="str">
            <v>竞配建项目</v>
          </cell>
        </row>
        <row r="1022">
          <cell r="G1022" t="str">
            <v>住宅-毛坯非普宅</v>
          </cell>
          <cell r="H1022" t="str">
            <v>套数（套）</v>
          </cell>
        </row>
        <row r="1022"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</row>
        <row r="1023">
          <cell r="B1023" t="str">
            <v>竞配建项目</v>
          </cell>
        </row>
        <row r="1023">
          <cell r="G1023" t="str">
            <v>办公楼</v>
          </cell>
          <cell r="H1023" t="str">
            <v>套数（套）</v>
          </cell>
        </row>
        <row r="1023"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</row>
        <row r="1024">
          <cell r="B1024" t="str">
            <v>竞配建项目</v>
          </cell>
        </row>
        <row r="1024">
          <cell r="G1024" t="str">
            <v>商业</v>
          </cell>
          <cell r="H1024" t="str">
            <v>套数（套）</v>
          </cell>
        </row>
        <row r="1024"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</row>
        <row r="1025">
          <cell r="B1025" t="str">
            <v>竞配建项目</v>
          </cell>
        </row>
        <row r="1025">
          <cell r="G1025" t="str">
            <v>车位</v>
          </cell>
          <cell r="H1025" t="str">
            <v>套数（套）</v>
          </cell>
        </row>
        <row r="1025"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</row>
        <row r="1026">
          <cell r="B1026" t="str">
            <v>竞配建项目</v>
          </cell>
        </row>
        <row r="1026">
          <cell r="G1026" t="str">
            <v>住宅-精装普宅</v>
          </cell>
          <cell r="H1026" t="str">
            <v>面积（㎡）</v>
          </cell>
        </row>
        <row r="1026">
          <cell r="N1026">
            <v>30906.62</v>
          </cell>
        </row>
        <row r="1026">
          <cell r="V1026">
            <v>23305.1</v>
          </cell>
          <cell r="W1026">
            <v>4141.62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</row>
        <row r="1027">
          <cell r="B1027" t="str">
            <v>竞配建项目</v>
          </cell>
        </row>
        <row r="1027">
          <cell r="G1027" t="str">
            <v>住宅-毛坯普宅</v>
          </cell>
          <cell r="H1027" t="str">
            <v>面积（㎡）</v>
          </cell>
        </row>
        <row r="1027"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</row>
        <row r="1028">
          <cell r="B1028" t="str">
            <v>竞配建项目</v>
          </cell>
        </row>
        <row r="1028">
          <cell r="G1028" t="str">
            <v>住宅-精装非普宅</v>
          </cell>
          <cell r="H1028" t="str">
            <v>面积（㎡）</v>
          </cell>
        </row>
        <row r="1028">
          <cell r="N1028">
            <v>19981.59</v>
          </cell>
        </row>
        <row r="1028">
          <cell r="V1028">
            <v>2505.7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</row>
        <row r="1029">
          <cell r="B1029" t="str">
            <v>竞配建项目</v>
          </cell>
        </row>
        <row r="1029">
          <cell r="G1029" t="str">
            <v>住宅-毛坯非普宅</v>
          </cell>
          <cell r="H1029" t="str">
            <v>面积（㎡）</v>
          </cell>
        </row>
        <row r="1029"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</row>
        <row r="1030">
          <cell r="B1030" t="str">
            <v>竞配建项目</v>
          </cell>
        </row>
        <row r="1030">
          <cell r="G1030" t="str">
            <v>住宅-毛坯非普宅</v>
          </cell>
          <cell r="H1030" t="str">
            <v>面积（㎡）</v>
          </cell>
        </row>
        <row r="1030"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</row>
        <row r="1031">
          <cell r="B1031" t="str">
            <v>竞配建项目</v>
          </cell>
        </row>
        <row r="1031">
          <cell r="G1031" t="str">
            <v>办公楼</v>
          </cell>
          <cell r="H1031" t="str">
            <v>面积（㎡）</v>
          </cell>
        </row>
        <row r="1031"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</row>
        <row r="1032">
          <cell r="B1032" t="str">
            <v>竞配建项目</v>
          </cell>
        </row>
        <row r="1032">
          <cell r="G1032" t="str">
            <v>商业</v>
          </cell>
          <cell r="H1032" t="str">
            <v>面积（㎡）</v>
          </cell>
        </row>
        <row r="1032"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</row>
        <row r="1033">
          <cell r="B1033" t="str">
            <v>竞配建项目</v>
          </cell>
        </row>
        <row r="1033">
          <cell r="G1033" t="str">
            <v>车位</v>
          </cell>
          <cell r="H1033" t="str">
            <v>面积（㎡）</v>
          </cell>
        </row>
        <row r="1033"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</row>
        <row r="1034">
          <cell r="B1034" t="str">
            <v>竞配建项目</v>
          </cell>
        </row>
        <row r="1034">
          <cell r="G1034" t="str">
            <v>住宅-精装普宅</v>
          </cell>
          <cell r="H1034" t="str">
            <v>签约(元）</v>
          </cell>
        </row>
        <row r="1034">
          <cell r="N1034">
            <v>1745799180</v>
          </cell>
        </row>
        <row r="1034">
          <cell r="V1034">
            <v>1202707617</v>
          </cell>
          <cell r="W1034">
            <v>195858321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</row>
        <row r="1035">
          <cell r="B1035" t="str">
            <v>竞配建项目</v>
          </cell>
        </row>
        <row r="1035">
          <cell r="G1035" t="str">
            <v>住宅-毛坯普宅</v>
          </cell>
          <cell r="H1035" t="str">
            <v>签约(元）</v>
          </cell>
        </row>
        <row r="1035"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</row>
        <row r="1036">
          <cell r="B1036" t="str">
            <v>竞配建项目</v>
          </cell>
        </row>
        <row r="1036">
          <cell r="G1036" t="str">
            <v>住宅-精装非普宅</v>
          </cell>
          <cell r="H1036" t="str">
            <v>签约(元）</v>
          </cell>
        </row>
        <row r="1036">
          <cell r="N1036">
            <v>1093144934</v>
          </cell>
        </row>
        <row r="1036">
          <cell r="V1036">
            <v>124453740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</row>
        <row r="1037">
          <cell r="B1037" t="str">
            <v>竞配建项目</v>
          </cell>
        </row>
        <row r="1037">
          <cell r="G1037" t="str">
            <v>住宅-毛坯非普宅</v>
          </cell>
          <cell r="H1037" t="str">
            <v>签约(元）</v>
          </cell>
        </row>
        <row r="1037"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</row>
        <row r="1038">
          <cell r="B1038" t="str">
            <v>竞配建项目</v>
          </cell>
        </row>
        <row r="1038">
          <cell r="G1038" t="str">
            <v>住宅-毛坯非普宅</v>
          </cell>
          <cell r="H1038" t="str">
            <v>签约(元）</v>
          </cell>
        </row>
        <row r="1038"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</row>
        <row r="1039">
          <cell r="B1039" t="str">
            <v>竞配建项目</v>
          </cell>
        </row>
        <row r="1039">
          <cell r="G1039" t="str">
            <v>办公楼</v>
          </cell>
          <cell r="H1039" t="str">
            <v>签约(元）</v>
          </cell>
        </row>
        <row r="1039"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</row>
        <row r="1040">
          <cell r="B1040" t="str">
            <v>竞配建项目</v>
          </cell>
        </row>
        <row r="1040">
          <cell r="G1040" t="str">
            <v>商业</v>
          </cell>
          <cell r="H1040" t="str">
            <v>签约(元）</v>
          </cell>
        </row>
        <row r="1040"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</row>
        <row r="1041">
          <cell r="B1041" t="str">
            <v>竞配建项目</v>
          </cell>
        </row>
        <row r="1041">
          <cell r="G1041" t="str">
            <v>车位</v>
          </cell>
          <cell r="H1041" t="str">
            <v>签约(元）</v>
          </cell>
        </row>
        <row r="1041"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</row>
        <row r="1042">
          <cell r="B1042" t="str">
            <v>竞配建项目</v>
          </cell>
        </row>
        <row r="1042">
          <cell r="G1042" t="str">
            <v>住宅-精装普宅</v>
          </cell>
          <cell r="H1042" t="str">
            <v>回款含税(元）</v>
          </cell>
        </row>
        <row r="1042">
          <cell r="N1042">
            <v>1522297470</v>
          </cell>
        </row>
        <row r="1042">
          <cell r="V1042">
            <v>1355670956</v>
          </cell>
          <cell r="W1042">
            <v>266396692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</row>
        <row r="1043">
          <cell r="B1043" t="str">
            <v>竞配建项目</v>
          </cell>
        </row>
        <row r="1043">
          <cell r="G1043" t="str">
            <v>住宅-毛坯普宅</v>
          </cell>
          <cell r="H1043" t="str">
            <v>回款含税(元）</v>
          </cell>
        </row>
        <row r="1043">
          <cell r="N1043">
            <v>0</v>
          </cell>
        </row>
        <row r="1043"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</row>
        <row r="1044">
          <cell r="B1044" t="str">
            <v>竞配建项目</v>
          </cell>
        </row>
        <row r="1044">
          <cell r="G1044" t="str">
            <v>住宅-精装非普宅</v>
          </cell>
          <cell r="H1044" t="str">
            <v>回款含税(元）</v>
          </cell>
        </row>
        <row r="1044">
          <cell r="N1044">
            <v>939946030</v>
          </cell>
        </row>
        <row r="1044">
          <cell r="V1044">
            <v>277652644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</row>
        <row r="1045">
          <cell r="B1045" t="str">
            <v>竞配建项目</v>
          </cell>
        </row>
        <row r="1045">
          <cell r="G1045" t="str">
            <v>住宅-毛坯非普宅</v>
          </cell>
          <cell r="H1045" t="str">
            <v>回款含税(元）</v>
          </cell>
        </row>
        <row r="1045">
          <cell r="N1045">
            <v>0</v>
          </cell>
        </row>
        <row r="1045"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</row>
        <row r="1046">
          <cell r="B1046" t="str">
            <v>竞配建项目</v>
          </cell>
        </row>
        <row r="1046">
          <cell r="G1046" t="str">
            <v>住宅-毛坯非普宅</v>
          </cell>
          <cell r="H1046" t="str">
            <v>回款含税(元）</v>
          </cell>
        </row>
        <row r="1046">
          <cell r="N1046">
            <v>0</v>
          </cell>
        </row>
        <row r="1046"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</row>
        <row r="1047">
          <cell r="B1047" t="str">
            <v>竞配建项目</v>
          </cell>
        </row>
        <row r="1047">
          <cell r="G1047" t="str">
            <v>办公楼</v>
          </cell>
          <cell r="H1047" t="str">
            <v>回款含税(元）</v>
          </cell>
        </row>
        <row r="1047">
          <cell r="N1047">
            <v>0</v>
          </cell>
        </row>
        <row r="1047"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</row>
        <row r="1048">
          <cell r="B1048" t="str">
            <v>竞配建项目</v>
          </cell>
        </row>
        <row r="1048">
          <cell r="G1048" t="str">
            <v>商业</v>
          </cell>
          <cell r="H1048" t="str">
            <v>回款含税(元）</v>
          </cell>
        </row>
        <row r="1048">
          <cell r="N1048">
            <v>0</v>
          </cell>
        </row>
        <row r="1048"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</row>
        <row r="1049">
          <cell r="B1049" t="str">
            <v>竞配建项目</v>
          </cell>
        </row>
        <row r="1049">
          <cell r="G1049" t="str">
            <v>车位</v>
          </cell>
          <cell r="H1049" t="str">
            <v>回款含税(元）</v>
          </cell>
        </row>
        <row r="1049">
          <cell r="N1049">
            <v>0</v>
          </cell>
        </row>
        <row r="1049"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</row>
        <row r="1050">
          <cell r="B1050" t="str">
            <v>竞配建项目</v>
          </cell>
        </row>
        <row r="1050">
          <cell r="G1050" t="str">
            <v>住宅-精装普宅</v>
          </cell>
          <cell r="H1050" t="str">
            <v>回款含税(元）（非贷款类回款）</v>
          </cell>
        </row>
        <row r="1050">
          <cell r="N1050">
            <v>740448470</v>
          </cell>
        </row>
        <row r="1050">
          <cell r="V1050">
            <v>889710956</v>
          </cell>
          <cell r="W1050">
            <v>123146778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</row>
        <row r="1051">
          <cell r="B1051" t="str">
            <v>竞配建项目</v>
          </cell>
        </row>
        <row r="1051">
          <cell r="G1051" t="str">
            <v>住宅-毛坯普宅</v>
          </cell>
          <cell r="H1051" t="str">
            <v>回款含税(元）（非贷款类回款）</v>
          </cell>
        </row>
        <row r="1051"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</row>
        <row r="1052">
          <cell r="B1052" t="str">
            <v>竞配建项目</v>
          </cell>
        </row>
        <row r="1052">
          <cell r="G1052" t="str">
            <v>住宅-精装非普宅</v>
          </cell>
          <cell r="H1052" t="str">
            <v>回款含税(元）（非贷款类回款）</v>
          </cell>
        </row>
        <row r="1052">
          <cell r="N1052">
            <v>484056030</v>
          </cell>
        </row>
        <row r="1052">
          <cell r="V1052">
            <v>122982644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</row>
        <row r="1053">
          <cell r="B1053" t="str">
            <v>竞配建项目</v>
          </cell>
        </row>
        <row r="1053">
          <cell r="G1053" t="str">
            <v>住宅-毛坯非普宅</v>
          </cell>
          <cell r="H1053" t="str">
            <v>回款含税(元）（非贷款类回款）</v>
          </cell>
        </row>
        <row r="1053"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</row>
        <row r="1054">
          <cell r="B1054" t="str">
            <v>竞配建项目</v>
          </cell>
        </row>
        <row r="1054">
          <cell r="G1054" t="str">
            <v>住宅-毛坯非普宅</v>
          </cell>
          <cell r="H1054" t="str">
            <v>回款含税(元）（非贷款类回款）</v>
          </cell>
        </row>
        <row r="1054"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</row>
        <row r="1055">
          <cell r="B1055" t="str">
            <v>竞配建项目</v>
          </cell>
        </row>
        <row r="1055">
          <cell r="G1055" t="str">
            <v>办公楼</v>
          </cell>
          <cell r="H1055" t="str">
            <v>回款含税(元）（非贷款类回款）</v>
          </cell>
        </row>
        <row r="1055"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</row>
        <row r="1056">
          <cell r="B1056" t="str">
            <v>竞配建项目</v>
          </cell>
        </row>
        <row r="1056">
          <cell r="G1056" t="str">
            <v>商业</v>
          </cell>
          <cell r="H1056" t="str">
            <v>回款含税(元）（非贷款类回款）</v>
          </cell>
        </row>
        <row r="1056"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</row>
        <row r="1057">
          <cell r="B1057" t="str">
            <v>竞配建项目</v>
          </cell>
        </row>
        <row r="1057">
          <cell r="G1057" t="str">
            <v>车位</v>
          </cell>
          <cell r="H1057" t="str">
            <v>回款含税(元）（非贷款类回款）</v>
          </cell>
        </row>
        <row r="1057"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</row>
        <row r="1058">
          <cell r="B1058" t="str">
            <v>竞配建项目</v>
          </cell>
        </row>
        <row r="1058">
          <cell r="G1058" t="str">
            <v>住宅-精装普宅</v>
          </cell>
          <cell r="H1058" t="str">
            <v>回款含税(元）（贷款类回款）</v>
          </cell>
        </row>
        <row r="1058">
          <cell r="N1058">
            <v>781849000</v>
          </cell>
        </row>
        <row r="1058">
          <cell r="V1058">
            <v>465960000</v>
          </cell>
          <cell r="W1058">
            <v>143249914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</row>
        <row r="1059">
          <cell r="B1059" t="str">
            <v>竞配建项目</v>
          </cell>
        </row>
        <row r="1059">
          <cell r="G1059" t="str">
            <v>住宅-毛坯普宅</v>
          </cell>
          <cell r="H1059" t="str">
            <v>回款含税(元）（贷款类回款）</v>
          </cell>
        </row>
        <row r="1059"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</row>
        <row r="1060">
          <cell r="B1060" t="str">
            <v>竞配建项目</v>
          </cell>
        </row>
        <row r="1060">
          <cell r="G1060" t="str">
            <v>住宅-精装非普宅</v>
          </cell>
          <cell r="H1060" t="str">
            <v>回款含税(元）（贷款类回款）</v>
          </cell>
        </row>
        <row r="1060">
          <cell r="N1060">
            <v>455890000</v>
          </cell>
        </row>
        <row r="1060">
          <cell r="V1060">
            <v>154670000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</row>
        <row r="1061">
          <cell r="B1061" t="str">
            <v>竞配建项目</v>
          </cell>
        </row>
        <row r="1061">
          <cell r="G1061" t="str">
            <v>住宅-毛坯非普宅</v>
          </cell>
          <cell r="H1061" t="str">
            <v>回款含税(元）（贷款类回款）</v>
          </cell>
        </row>
        <row r="1061"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</row>
        <row r="1062">
          <cell r="B1062" t="str">
            <v>竞配建项目</v>
          </cell>
        </row>
        <row r="1062">
          <cell r="G1062" t="str">
            <v>住宅-毛坯非普宅</v>
          </cell>
          <cell r="H1062" t="str">
            <v>回款含税(元）（贷款类回款）</v>
          </cell>
        </row>
        <row r="1062"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</row>
        <row r="1063">
          <cell r="B1063" t="str">
            <v>竞配建项目</v>
          </cell>
        </row>
        <row r="1063">
          <cell r="G1063" t="str">
            <v>办公楼</v>
          </cell>
          <cell r="H1063" t="str">
            <v>回款含税(元）（贷款类回款）</v>
          </cell>
        </row>
        <row r="1063"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</row>
        <row r="1064">
          <cell r="B1064" t="str">
            <v>竞配建项目</v>
          </cell>
        </row>
        <row r="1064">
          <cell r="G1064" t="str">
            <v>商业</v>
          </cell>
          <cell r="H1064" t="str">
            <v>回款含税(元）（贷款类回款）</v>
          </cell>
        </row>
        <row r="1064"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</row>
        <row r="1065">
          <cell r="B1065" t="str">
            <v>竞配建项目</v>
          </cell>
        </row>
        <row r="1065">
          <cell r="G1065" t="str">
            <v>车位</v>
          </cell>
          <cell r="H1065" t="str">
            <v>回款含税(元）（贷款类回款）</v>
          </cell>
        </row>
        <row r="1065"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</row>
        <row r="1066"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</row>
        <row r="1067"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</row>
        <row r="1068"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</row>
        <row r="1069"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</row>
        <row r="1070"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</row>
        <row r="1071"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</row>
        <row r="1072"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</row>
        <row r="1073"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</row>
        <row r="1074"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-封面"/>
      <sheetName val="目录"/>
      <sheetName val="CHECK列表"/>
      <sheetName val="辅助表1"/>
      <sheetName val="辅助表2"/>
      <sheetName val="01-评价指标"/>
      <sheetName val="02-规划输入"/>
      <sheetName val="03-参数输入"/>
      <sheetName val="04-开发计划"/>
      <sheetName val="05-总货值及销售计划"/>
      <sheetName val="05-1销售计划(一期)"/>
      <sheetName val="05-2销售计划(二期)"/>
      <sheetName val="05-3销售计划(三期)"/>
      <sheetName val="05-4销售计划(四期)"/>
      <sheetName val="06-项目成本支付计划"/>
      <sheetName val="06-1地价分摊表"/>
      <sheetName val="06-2成本分摊"/>
      <sheetName val="07-税金"/>
      <sheetName val="07-1一期土增税"/>
      <sheetName val="07-2二期土增税"/>
      <sheetName val="07-3三期土增税"/>
      <sheetName val="07-4四期土增税"/>
      <sheetName val="07-5视同销售"/>
      <sheetName val="08-现金流量表"/>
      <sheetName val="08-1融资计划"/>
      <sheetName val="08-2监管资金"/>
      <sheetName val="9 销售物业利润表"/>
      <sheetName val="9-1销售一期利润表"/>
      <sheetName val="9-2销售二期利润表"/>
      <sheetName val="9-3销售三期利润表"/>
      <sheetName val="9-4销售四期利润表"/>
      <sheetName val="10-自持业态表"/>
      <sheetName val="11-合并报表"/>
      <sheetName val="业态字典"/>
      <sheetName val="销售收入"/>
      <sheetName val="计算窗口"/>
      <sheetName val="◆ 项目规划指标"/>
      <sheetName val="2、面积汇总及货值表"/>
      <sheetName val="销售"/>
      <sheetName val="成本"/>
      <sheetName val="conWP"/>
      <sheetName val="基础档案"/>
      <sheetName val="概算总表"/>
    </sheetNames>
    <sheetDataSet>
      <sheetData sheetId="0"/>
      <sheetData sheetId="1"/>
      <sheetData sheetId="2"/>
      <sheetData sheetId="3"/>
      <sheetData sheetId="4"/>
      <sheetData sheetId="5"/>
      <sheetData sheetId="6">
        <row r="94">
          <cell r="G94">
            <v>31.4808917197452</v>
          </cell>
          <cell r="H94">
            <v>45.5709459459459</v>
          </cell>
        </row>
      </sheetData>
      <sheetData sheetId="7"/>
      <sheetData sheetId="8"/>
      <sheetData sheetId="9"/>
      <sheetData sheetId="10">
        <row r="29">
          <cell r="G29">
            <v>942</v>
          </cell>
        </row>
      </sheetData>
      <sheetData sheetId="11">
        <row r="29">
          <cell r="G29">
            <v>148</v>
          </cell>
        </row>
      </sheetData>
      <sheetData sheetId="12"/>
      <sheetData sheetId="13"/>
      <sheetData sheetId="14">
        <row r="43">
          <cell r="D43">
            <v>7394.93348922113</v>
          </cell>
        </row>
        <row r="58">
          <cell r="D58">
            <v>78570</v>
          </cell>
        </row>
        <row r="83">
          <cell r="D83">
            <v>18875</v>
          </cell>
        </row>
      </sheetData>
      <sheetData sheetId="15"/>
      <sheetData sheetId="16">
        <row r="6">
          <cell r="Y6">
            <v>2.46761318291339</v>
          </cell>
        </row>
        <row r="7">
          <cell r="Y7">
            <v>2.49684941883758</v>
          </cell>
        </row>
        <row r="16">
          <cell r="Y16">
            <v>2.28949396758945</v>
          </cell>
        </row>
        <row r="27">
          <cell r="Y27">
            <v>25.7868982011761</v>
          </cell>
        </row>
        <row r="35">
          <cell r="Y35">
            <v>2.46843485735751</v>
          </cell>
        </row>
        <row r="45">
          <cell r="Y45">
            <v>2.29210205626539</v>
          </cell>
        </row>
        <row r="56">
          <cell r="Y56">
            <v>37.165459061414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海沧璞盛"/>
      <sheetName val="成本变动"/>
      <sheetName val="销售费用-测算指标调整（支付）"/>
      <sheetName val="动态成本"/>
      <sheetName val="管材综合单价(真实价)"/>
      <sheetName val="XL4Poppy"/>
      <sheetName val="基础档案"/>
      <sheetName val="概算总表"/>
      <sheetName val="管材综合单价(投标价)"/>
      <sheetName val="conWP"/>
    </sheetNames>
    <sheetDataSet>
      <sheetData sheetId="0">
        <row r="44">
          <cell r="B44">
            <v>378672.099607339</v>
          </cell>
        </row>
        <row r="45">
          <cell r="B45">
            <v>326427.096157324</v>
          </cell>
        </row>
        <row r="46">
          <cell r="B46">
            <v>310432.678537374</v>
          </cell>
        </row>
        <row r="50">
          <cell r="B50">
            <v>1293.39410422925</v>
          </cell>
        </row>
        <row r="51">
          <cell r="B51">
            <v>0</v>
          </cell>
        </row>
        <row r="52">
          <cell r="B52">
            <v>12357.332148</v>
          </cell>
        </row>
        <row r="56">
          <cell r="B56">
            <v>5043.80904</v>
          </cell>
        </row>
        <row r="57">
          <cell r="B57">
            <v>-2700.11767227894</v>
          </cell>
        </row>
        <row r="60">
          <cell r="B60">
            <v>52245.0034500151</v>
          </cell>
        </row>
        <row r="63">
          <cell r="B63">
            <v>52245.0034500151</v>
          </cell>
        </row>
        <row r="64">
          <cell r="B64">
            <v>13061.2508625038</v>
          </cell>
        </row>
        <row r="65">
          <cell r="B65">
            <v>39183.7525875113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K0601"/>
      <sheetName val="K0602"/>
      <sheetName val="K0603"/>
      <sheetName val="G08"/>
      <sheetName val="开发贷合计逐日明细表"/>
      <sheetName val="集团往来"/>
      <sheetName val="Sheet5"/>
      <sheetName val="营业收入和税金及附加估算表"/>
      <sheetName val="销售收入表和支出"/>
      <sheetName val="生产成本表"/>
      <sheetName val="基本资料"/>
      <sheetName val="5201.2004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>
        <row r="47">
          <cell r="BJ47">
            <v>-104.152459365917</v>
          </cell>
          <cell r="BK47">
            <v>-104.152459365917</v>
          </cell>
          <cell r="BL47">
            <v>-104.152459365917</v>
          </cell>
          <cell r="BM47">
            <v>-107.698138135441</v>
          </cell>
          <cell r="BN47">
            <v>-107.698138135441</v>
          </cell>
          <cell r="BO47">
            <v>-107.698138135441</v>
          </cell>
          <cell r="BP47">
            <v>-137.218955532631</v>
          </cell>
          <cell r="BQ47">
            <v>-137.218955532631</v>
          </cell>
          <cell r="BR47">
            <v>-137.218955532631</v>
          </cell>
          <cell r="BS47">
            <v>-145.742101792175</v>
          </cell>
          <cell r="BT47">
            <v>-145.742101792175</v>
          </cell>
          <cell r="BU47">
            <v>-145.742101792175</v>
          </cell>
          <cell r="BV47">
            <v>-125.735245125524</v>
          </cell>
          <cell r="BW47">
            <v>-159.867638884563</v>
          </cell>
          <cell r="BX47">
            <v>-159.867638884563</v>
          </cell>
          <cell r="BY47">
            <v>-166.521415044</v>
          </cell>
          <cell r="BZ47">
            <v>-166.521415044</v>
          </cell>
          <cell r="CA47">
            <v>-166.521415044</v>
          </cell>
          <cell r="CB47">
            <v>-173.267627544</v>
          </cell>
          <cell r="CC47">
            <v>-173.267627544</v>
          </cell>
          <cell r="CD47">
            <v>-173.267627544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52">
          <cell r="B52">
            <v>1745.83520007427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4"/>
  <sheetViews>
    <sheetView tabSelected="1" zoomScale="70" zoomScaleNormal="70" topLeftCell="A52" workbookViewId="0">
      <selection activeCell="J80" sqref="F77:J80"/>
    </sheetView>
  </sheetViews>
  <sheetFormatPr defaultColWidth="9" defaultRowHeight="14.4"/>
  <cols>
    <col min="1" max="1" width="20.8796296296296" style="1" customWidth="1"/>
    <col min="2" max="2" width="14" style="1" customWidth="1"/>
    <col min="3" max="3" width="16.462962962963" style="1" customWidth="1"/>
    <col min="4" max="4" width="10.5833333333333" style="1" customWidth="1"/>
    <col min="5" max="5" width="10.712962962963" style="1" customWidth="1"/>
    <col min="6" max="9" width="9.7037037037037" style="1" customWidth="1"/>
    <col min="10" max="10" width="12.6759259259259" style="1" customWidth="1"/>
    <col min="11" max="11" width="12.7685185185185" style="1" customWidth="1"/>
    <col min="12" max="12" width="11.0740740740741" style="1" customWidth="1"/>
    <col min="13" max="33" width="9.7037037037037" style="1" customWidth="1"/>
    <col min="34" max="16384" width="9" style="1"/>
  </cols>
  <sheetData>
    <row r="1" ht="23.4" spans="1:33">
      <c r="A1" s="12" t="s">
        <v>0</v>
      </c>
      <c r="C1" s="13" t="str">
        <f>+[1]关键节点!G2</f>
        <v>竣备</v>
      </c>
      <c r="D1" s="13" t="str">
        <f>+[1]关键节点!H2</f>
        <v>交付/开业</v>
      </c>
      <c r="E1" s="14" t="str">
        <f>+[1]关键节点!I2</f>
        <v>交付
（合同约定）</v>
      </c>
    </row>
    <row r="2" ht="35" customHeight="1" spans="1:33">
      <c r="C2" s="15">
        <f>+[1]关键节点!G8</f>
        <v>46265</v>
      </c>
      <c r="D2" s="16" t="str">
        <f>+[1]关键节点!H8</f>
        <v>住宅：2027/4/30
商业：2027/5/1</v>
      </c>
      <c r="E2" s="16">
        <f>+[1]关键节点!I8</f>
        <v>46568</v>
      </c>
    </row>
    <row r="3" ht="24.15" spans="1:33">
      <c r="A3" s="12" t="s">
        <v>1</v>
      </c>
      <c r="P3" s="1" t="s">
        <v>2</v>
      </c>
      <c r="S3" s="1" t="s">
        <v>3</v>
      </c>
      <c r="V3" s="1" t="s">
        <v>4</v>
      </c>
      <c r="Y3" s="1" t="s">
        <v>5</v>
      </c>
      <c r="AB3" s="1" t="s">
        <v>6</v>
      </c>
      <c r="AE3" s="1" t="s">
        <v>7</v>
      </c>
    </row>
    <row r="4" ht="18.15" spans="1:33">
      <c r="A4" s="17" t="s">
        <v>8</v>
      </c>
      <c r="B4" s="17"/>
      <c r="C4" s="17"/>
      <c r="D4" s="18" t="s">
        <v>9</v>
      </c>
      <c r="E4" s="18"/>
      <c r="F4" s="18"/>
      <c r="G4" s="18" t="s">
        <v>10</v>
      </c>
      <c r="H4" s="18"/>
      <c r="I4" s="18"/>
      <c r="J4" s="18" t="s">
        <v>11</v>
      </c>
      <c r="K4" s="18"/>
      <c r="L4" s="18"/>
      <c r="M4" s="19" t="s">
        <v>12</v>
      </c>
      <c r="N4" s="19"/>
      <c r="O4" s="19"/>
      <c r="P4" s="18" t="s">
        <v>13</v>
      </c>
      <c r="Q4" s="18"/>
      <c r="R4" s="18"/>
      <c r="S4" s="19" t="s">
        <v>14</v>
      </c>
      <c r="T4" s="19"/>
      <c r="U4" s="19"/>
      <c r="V4" s="18" t="s">
        <v>15</v>
      </c>
      <c r="W4" s="18"/>
      <c r="X4" s="18"/>
      <c r="Y4" s="19" t="s">
        <v>16</v>
      </c>
      <c r="Z4" s="19"/>
      <c r="AA4" s="19"/>
      <c r="AB4" s="18" t="s">
        <v>17</v>
      </c>
      <c r="AC4" s="18"/>
      <c r="AD4" s="18"/>
      <c r="AE4" s="18" t="s">
        <v>18</v>
      </c>
      <c r="AF4" s="18"/>
      <c r="AG4" s="18"/>
    </row>
    <row r="5" ht="18.15" spans="1:33">
      <c r="A5" s="17"/>
      <c r="B5" s="17"/>
      <c r="C5" s="17"/>
      <c r="D5" s="20" t="s">
        <v>9</v>
      </c>
      <c r="E5" s="21" t="s">
        <v>19</v>
      </c>
      <c r="F5" s="22" t="s">
        <v>20</v>
      </c>
      <c r="G5" s="20" t="s">
        <v>9</v>
      </c>
      <c r="H5" s="21" t="s">
        <v>19</v>
      </c>
      <c r="I5" s="22" t="s">
        <v>20</v>
      </c>
      <c r="J5" s="20"/>
      <c r="K5" s="21"/>
      <c r="L5" s="22"/>
      <c r="M5" s="23"/>
      <c r="N5" s="21"/>
      <c r="O5" s="24"/>
      <c r="P5" s="20" t="s">
        <v>9</v>
      </c>
      <c r="Q5" s="21" t="s">
        <v>19</v>
      </c>
      <c r="R5" s="22" t="s">
        <v>20</v>
      </c>
      <c r="S5" s="23" t="s">
        <v>9</v>
      </c>
      <c r="T5" s="21" t="s">
        <v>19</v>
      </c>
      <c r="U5" s="24" t="s">
        <v>20</v>
      </c>
      <c r="V5" s="20" t="s">
        <v>9</v>
      </c>
      <c r="W5" s="21" t="s">
        <v>19</v>
      </c>
      <c r="X5" s="22" t="s">
        <v>20</v>
      </c>
      <c r="Y5" s="23" t="s">
        <v>9</v>
      </c>
      <c r="Z5" s="21" t="s">
        <v>19</v>
      </c>
      <c r="AA5" s="24" t="s">
        <v>20</v>
      </c>
      <c r="AB5" s="20" t="s">
        <v>9</v>
      </c>
      <c r="AC5" s="21" t="s">
        <v>19</v>
      </c>
      <c r="AD5" s="22" t="s">
        <v>20</v>
      </c>
      <c r="AE5" s="20" t="s">
        <v>9</v>
      </c>
      <c r="AF5" s="21" t="s">
        <v>19</v>
      </c>
      <c r="AG5" s="22" t="s">
        <v>20</v>
      </c>
    </row>
    <row r="6" ht="18.15" spans="1:33">
      <c r="A6" s="25" t="s">
        <v>21</v>
      </c>
      <c r="B6" s="25"/>
      <c r="C6" s="26" t="s">
        <v>9</v>
      </c>
      <c r="D6" s="27">
        <f t="shared" ref="D6:AG6" si="0">SUM(D8:D11)</f>
        <v>42.08946806416</v>
      </c>
      <c r="E6" s="28">
        <f t="shared" si="0"/>
        <v>33.55341101416</v>
      </c>
      <c r="F6" s="29">
        <f t="shared" si="0"/>
        <v>8.53605705</v>
      </c>
      <c r="G6" s="27">
        <f t="shared" si="0"/>
        <v>29.53433747</v>
      </c>
      <c r="H6" s="28">
        <f t="shared" si="0"/>
        <v>22.1087433</v>
      </c>
      <c r="I6" s="29">
        <f t="shared" si="0"/>
        <v>7.42559417</v>
      </c>
      <c r="J6" s="30">
        <f t="shared" si="0"/>
        <v>0</v>
      </c>
      <c r="K6" s="31">
        <f t="shared" si="0"/>
        <v>0</v>
      </c>
      <c r="L6" s="32">
        <f t="shared" si="0"/>
        <v>0</v>
      </c>
      <c r="M6" s="33">
        <f t="shared" si="0"/>
        <v>0</v>
      </c>
      <c r="N6" s="31">
        <f t="shared" si="0"/>
        <v>0</v>
      </c>
      <c r="O6" s="34">
        <f t="shared" si="0"/>
        <v>0</v>
      </c>
      <c r="P6" s="30">
        <f t="shared" si="0"/>
        <v>6.75205446416001</v>
      </c>
      <c r="Q6" s="31">
        <f t="shared" si="0"/>
        <v>5.91356958416001</v>
      </c>
      <c r="R6" s="32">
        <f t="shared" si="0"/>
        <v>0.83848488</v>
      </c>
      <c r="S6" s="30">
        <f t="shared" si="0"/>
        <v>4.07841813</v>
      </c>
      <c r="T6" s="31">
        <f t="shared" si="0"/>
        <v>3.96511813</v>
      </c>
      <c r="U6" s="34">
        <f t="shared" si="0"/>
        <v>0.1133</v>
      </c>
      <c r="V6" s="30">
        <f t="shared" si="0"/>
        <v>0.442411</v>
      </c>
      <c r="W6" s="31">
        <f t="shared" si="0"/>
        <v>0.442411</v>
      </c>
      <c r="X6" s="32">
        <f t="shared" si="0"/>
        <v>0</v>
      </c>
      <c r="Y6" s="30">
        <f t="shared" si="0"/>
        <v>0</v>
      </c>
      <c r="Z6" s="31">
        <f t="shared" si="0"/>
        <v>0</v>
      </c>
      <c r="AA6" s="34">
        <f t="shared" si="0"/>
        <v>0</v>
      </c>
      <c r="AB6" s="30">
        <f t="shared" si="0"/>
        <v>1.282247</v>
      </c>
      <c r="AC6" s="31">
        <f t="shared" si="0"/>
        <v>1.123569</v>
      </c>
      <c r="AD6" s="32">
        <f t="shared" si="0"/>
        <v>0.158678</v>
      </c>
      <c r="AE6" s="30">
        <f t="shared" si="0"/>
        <v>0</v>
      </c>
      <c r="AF6" s="31">
        <f t="shared" si="0"/>
        <v>0</v>
      </c>
      <c r="AG6" s="32">
        <f t="shared" si="0"/>
        <v>0</v>
      </c>
    </row>
    <row r="7" ht="18.15" spans="1:33">
      <c r="A7" s="25"/>
      <c r="B7" s="25"/>
      <c r="C7" s="35" t="s">
        <v>22</v>
      </c>
      <c r="D7" s="36">
        <f t="shared" ref="D7:I7" si="1">SUM(D8:D9)</f>
        <v>39.62822106416</v>
      </c>
      <c r="E7" s="37">
        <f t="shared" si="1"/>
        <v>31.43194201416</v>
      </c>
      <c r="F7" s="38">
        <f t="shared" si="1"/>
        <v>8.19627905</v>
      </c>
      <c r="G7" s="36">
        <f t="shared" si="1"/>
        <v>29.25023747</v>
      </c>
      <c r="H7" s="37">
        <f t="shared" si="1"/>
        <v>21.8924433</v>
      </c>
      <c r="I7" s="38">
        <f t="shared" si="1"/>
        <v>7.35779417</v>
      </c>
      <c r="J7" s="39"/>
      <c r="K7" s="40"/>
      <c r="L7" s="41"/>
      <c r="M7" s="42"/>
      <c r="N7" s="40"/>
      <c r="O7" s="43"/>
      <c r="P7" s="39">
        <f t="shared" ref="P7:AG7" si="2">SUM(P8:P9)</f>
        <v>6.69125446416001</v>
      </c>
      <c r="Q7" s="40">
        <f t="shared" si="2"/>
        <v>5.85276958416001</v>
      </c>
      <c r="R7" s="41">
        <f t="shared" si="2"/>
        <v>0.83848488</v>
      </c>
      <c r="S7" s="39">
        <f t="shared" si="2"/>
        <v>3.68672913</v>
      </c>
      <c r="T7" s="40">
        <f t="shared" si="2"/>
        <v>3.68672913</v>
      </c>
      <c r="U7" s="43">
        <f t="shared" si="2"/>
        <v>0</v>
      </c>
      <c r="V7" s="39">
        <f t="shared" si="2"/>
        <v>0</v>
      </c>
      <c r="W7" s="40">
        <f t="shared" si="2"/>
        <v>0</v>
      </c>
      <c r="X7" s="41">
        <f t="shared" si="2"/>
        <v>0</v>
      </c>
      <c r="Y7" s="39">
        <f t="shared" si="2"/>
        <v>0</v>
      </c>
      <c r="Z7" s="40">
        <f t="shared" si="2"/>
        <v>0</v>
      </c>
      <c r="AA7" s="43">
        <f t="shared" si="2"/>
        <v>0</v>
      </c>
      <c r="AB7" s="39">
        <f t="shared" si="2"/>
        <v>0</v>
      </c>
      <c r="AC7" s="40">
        <f t="shared" si="2"/>
        <v>0</v>
      </c>
      <c r="AD7" s="41">
        <f t="shared" si="2"/>
        <v>0</v>
      </c>
      <c r="AE7" s="39">
        <f t="shared" si="2"/>
        <v>0</v>
      </c>
      <c r="AF7" s="40">
        <f t="shared" si="2"/>
        <v>0</v>
      </c>
      <c r="AG7" s="41">
        <f t="shared" si="2"/>
        <v>0</v>
      </c>
    </row>
    <row r="8" ht="18.15" spans="1:33">
      <c r="A8" s="25"/>
      <c r="B8" s="25"/>
      <c r="C8" s="44" t="s">
        <v>23</v>
      </c>
      <c r="D8" s="36">
        <f t="shared" ref="D8:D21" si="3">SUM(E8:F8)</f>
        <v>30.63749193416</v>
      </c>
      <c r="E8" s="37">
        <f t="shared" ref="E8:E21" si="4">SUM(H8,Q8,T8,W8,Z8,AC8,AF8)</f>
        <v>22.44121288416</v>
      </c>
      <c r="F8" s="38">
        <f t="shared" ref="F8:F21" si="5">SUM(I8,R8,U8,X8,AA8,AD8,AG8)</f>
        <v>8.19627905</v>
      </c>
      <c r="G8" s="36">
        <f t="shared" ref="G8:G21" si="6">SUM(H8:I8)</f>
        <v>29.25023747</v>
      </c>
      <c r="H8" s="37">
        <f>(SUMIFS('[2]1.1地产销售计划表'!N:N,'[2]1.1地产销售计划表'!B:B,"海沧中心璞盛项目（一期）",'[2]1.1地产销售计划表'!G:G,"住宅-精装普宅",'[2]1.1地产销售计划表'!H:H,"签约(元）")+SUMIFS('[2]1.1地产销售计划表'!V:V,'[2]1.1地产销售计划表'!B:B,"海沧中心璞盛项目（一期）",'[2]1.1地产销售计划表'!G:G,"住宅-精装普宅",'[2]1.1地产销售计划表'!H:H,"签约(元）"))/100000000</f>
        <v>21.8924433</v>
      </c>
      <c r="I8" s="38">
        <f>(SUMIFS('[2]1.1地产销售计划表'!N:N,'[2]1.1地产销售计划表'!B:B,"海沧中心璞盛项目（二期）",'[2]1.1地产销售计划表'!G:G,"住宅-精装普宅",'[2]1.1地产销售计划表'!H:H,"签约(元）")+SUMIFS('[2]1.1地产销售计划表'!V:V,'[2]1.1地产销售计划表'!B:B,"海沧中心璞盛项目（二期）",'[2]1.1地产销售计划表'!G:G,"住宅-精装普宅",'[2]1.1地产销售计划表'!H:H,"签约(元）"))/100000000</f>
        <v>7.35779417</v>
      </c>
      <c r="J8" s="45"/>
      <c r="K8" s="40"/>
      <c r="L8" s="41"/>
      <c r="M8" s="46"/>
      <c r="N8" s="40"/>
      <c r="O8" s="43"/>
      <c r="P8" s="45">
        <f>SUM(Q8:R8)</f>
        <v>1.38725446416001</v>
      </c>
      <c r="Q8" s="40">
        <f>SUMIFS('[2]1.1地产销售计划表'!W:W,'[2]1.1地产销售计划表'!B:B,"海沧中心璞盛项目（一期）",'[2]1.1地产销售计划表'!G:G,"住宅-精装普宅",'[2]1.1地产销售计划表'!H:H,"签约(元）")/100000000</f>
        <v>0.548769584160005</v>
      </c>
      <c r="R8" s="41">
        <f>SUMIFS('[2]1.1地产销售计划表'!W:W,'[2]1.1地产销售计划表'!B:B,"海沧中心璞盛项目（二期）",'[2]1.1地产销售计划表'!G:G,"住宅-精装普宅",'[2]1.1地产销售计划表'!H:H,"签约(元）")/100000000</f>
        <v>0.83848488</v>
      </c>
      <c r="S8" s="45">
        <f>SUM(T8:U8)</f>
        <v>0</v>
      </c>
      <c r="T8" s="40">
        <f>SUMIFS('[2]1.1地产销售计划表'!X:X,'[2]1.1地产销售计划表'!B:B,"海沧中心璞盛项目（一期）",'[2]1.1地产销售计划表'!G:G,"住宅-精装普宅",'[2]1.1地产销售计划表'!H:H,"签约(元）")/100000000</f>
        <v>0</v>
      </c>
      <c r="U8" s="43">
        <f>SUMIFS('[2]1.1地产销售计划表'!X:X,'[2]1.1地产销售计划表'!B:B,"海沧中心璞盛项目（二期）",'[2]1.1地产销售计划表'!G:G,"住宅-精装普宅",'[2]1.1地产销售计划表'!H:H,"签约(元）")/100000000</f>
        <v>0</v>
      </c>
      <c r="V8" s="45">
        <f>SUM(W8:X8)</f>
        <v>0</v>
      </c>
      <c r="W8" s="40">
        <f>SUMIFS('[2]1.1地产销售计划表'!Y:Y,'[2]1.1地产销售计划表'!B:B,"海沧中心璞盛项目（一期）",'[2]1.1地产销售计划表'!G:G,"住宅-精装普宅",'[2]1.1地产销售计划表'!H:H,"签约(元）")/100000000</f>
        <v>0</v>
      </c>
      <c r="X8" s="41">
        <f>SUMIFS('[2]1.1地产销售计划表'!Y:Y,'[2]1.1地产销售计划表'!B:B,"海沧中心璞盛项目（二期）",'[2]1.1地产销售计划表'!G:G,"住宅-精装普宅",'[2]1.1地产销售计划表'!H:H,"签约(元）")/100000000</f>
        <v>0</v>
      </c>
      <c r="Y8" s="45">
        <f>SUM(Z8:AA8)</f>
        <v>0</v>
      </c>
      <c r="Z8" s="40">
        <f>SUMIFS('[2]1.1地产销售计划表'!Z:Z,'[2]1.1地产销售计划表'!B:B,"海沧中心璞盛项目（一期）",'[2]1.1地产销售计划表'!G:G,"住宅-精装普宅",'[2]1.1地产销售计划表'!H:H,"签约(元）")/100000000</f>
        <v>0</v>
      </c>
      <c r="AA8" s="43">
        <f>SUMIFS('[2]1.1地产销售计划表'!Z:Z,'[2]1.1地产销售计划表'!B:B,"海沧中心璞盛项目（二期）",'[2]1.1地产销售计划表'!G:G,"住宅-精装普宅",'[2]1.1地产销售计划表'!H:H,"签约(元）")/100000000</f>
        <v>0</v>
      </c>
      <c r="AB8" s="45">
        <f>SUM(AC8:AD8)</f>
        <v>0</v>
      </c>
      <c r="AC8" s="40">
        <f>SUMIFS('[2]1.1地产销售计划表'!AA:AA,'[2]1.1地产销售计划表'!B:B,"海沧中心璞盛项目（一期）",'[2]1.1地产销售计划表'!G:G,"住宅-精装普宅",'[2]1.1地产销售计划表'!H:H,"签约(元）")/100000000</f>
        <v>0</v>
      </c>
      <c r="AD8" s="41">
        <f>SUMIFS('[2]1.1地产销售计划表'!AA:AA,'[2]1.1地产销售计划表'!B:B,"海沧中心璞盛项目（二期）",'[2]1.1地产销售计划表'!G:G,"住宅-精装普宅",'[2]1.1地产销售计划表'!H:H,"签约(元）")/100000000</f>
        <v>0</v>
      </c>
      <c r="AE8" s="45">
        <f>SUM(AF8:AG8)</f>
        <v>0</v>
      </c>
      <c r="AF8" s="40">
        <f>SUMIFS('[2]1.1地产销售计划表'!AB:AB,'[2]1.1地产销售计划表'!B:B,"海沧中心璞盛项目（一期）",'[2]1.1地产销售计划表'!G:G,"住宅-精装普宅",'[2]1.1地产销售计划表'!H:H,"签约(元）")/100000000</f>
        <v>0</v>
      </c>
      <c r="AG8" s="41">
        <f>SUMIFS('[2]1.1地产销售计划表'!AB:AB,'[2]1.1地产销售计划表'!B:B,"海沧中心璞盛项目（二期）",'[2]1.1地产销售计划表'!G:G,"住宅-精装普宅",'[2]1.1地产销售计划表'!H:H,"签约(元）")/100000000</f>
        <v>0</v>
      </c>
    </row>
    <row r="9" ht="18.15" spans="1:33">
      <c r="A9" s="25"/>
      <c r="B9" s="25"/>
      <c r="C9" s="44" t="s">
        <v>24</v>
      </c>
      <c r="D9" s="36">
        <f t="shared" si="3"/>
        <v>8.99072913</v>
      </c>
      <c r="E9" s="37">
        <f t="shared" si="4"/>
        <v>8.99072913</v>
      </c>
      <c r="F9" s="38">
        <f t="shared" si="5"/>
        <v>0</v>
      </c>
      <c r="G9" s="36">
        <f t="shared" si="6"/>
        <v>0</v>
      </c>
      <c r="H9" s="37">
        <f>(SUMIFS('[2]1.1地产销售计划表'!N:N,'[2]1.1地产销售计划表'!B:B,"海沧中心璞盛项目（一期）",'[2]1.1地产销售计划表'!G:G,"住宅-精装非普宅",'[2]1.1地产销售计划表'!H:H,"签约(元）")+SUMIFS('[2]1.1地产销售计划表'!V:V,'[2]1.1地产销售计划表'!B:B,"海沧中心璞盛项目（一期）",'[2]1.1地产销售计划表'!G:G,"住宅-精装非普宅",'[2]1.1地产销售计划表'!H:H,"签约(元）"))/100000000</f>
        <v>0</v>
      </c>
      <c r="I9" s="38">
        <f>(SUMIFS('[2]1.1地产销售计划表'!N:N,'[2]1.1地产销售计划表'!B:B,"海沧中心璞盛项目（二期）",'[2]1.1地产销售计划表'!G:G,"住宅-精装非普宅",'[2]1.1地产销售计划表'!H:H,"签约(元）")+SUMIFS('[2]1.1地产销售计划表'!V:V,'[2]1.1地产销售计划表'!B:B,"海沧中心璞盛项目（二期）",'[2]1.1地产销售计划表'!G:G,"住宅-精装非普宅",'[2]1.1地产销售计划表'!H:H,"签约(元）"))/100000000</f>
        <v>0</v>
      </c>
      <c r="J9" s="45"/>
      <c r="K9" s="40"/>
      <c r="L9" s="41"/>
      <c r="M9" s="46"/>
      <c r="N9" s="40"/>
      <c r="O9" s="43"/>
      <c r="P9" s="45">
        <f>SUM(Q9:R9)</f>
        <v>5.304</v>
      </c>
      <c r="Q9" s="40">
        <f>SUMIFS('[2]1.1地产销售计划表'!W:W,'[2]1.1地产销售计划表'!B:B,"海沧中心璞盛项目（一期）",'[2]1.1地产销售计划表'!G:G,"住宅-精装非普宅",'[2]1.1地产销售计划表'!H:H,"签约(元）")/100000000</f>
        <v>5.304</v>
      </c>
      <c r="R9" s="41">
        <f>SUMIFS('[2]1.1地产销售计划表'!W:W,'[2]1.1地产销售计划表'!B:B,"海沧中心璞盛项目（二期）",'[2]1.1地产销售计划表'!G:G,"住宅-精装非普宅",'[2]1.1地产销售计划表'!H:H,"签约(元）")/100000000</f>
        <v>0</v>
      </c>
      <c r="S9" s="45">
        <f>SUM(T9:U9)</f>
        <v>3.68672913</v>
      </c>
      <c r="T9" s="40">
        <f>SUMIFS('[2]1.1地产销售计划表'!X:X,'[2]1.1地产销售计划表'!B:B,"海沧中心璞盛项目（一期）",'[2]1.1地产销售计划表'!G:G,"住宅-精装非普宅",'[2]1.1地产销售计划表'!H:H,"签约(元）")/100000000</f>
        <v>3.68672913</v>
      </c>
      <c r="U9" s="43">
        <f>SUMIFS('[2]1.1地产销售计划表'!X:X,'[2]1.1地产销售计划表'!B:B,"海沧中心璞盛项目（二期）",'[2]1.1地产销售计划表'!G:G,"住宅-精装非普宅",'[2]1.1地产销售计划表'!H:H,"签约(元）")/100000000</f>
        <v>0</v>
      </c>
      <c r="V9" s="45">
        <f>SUM(W9:X9)</f>
        <v>0</v>
      </c>
      <c r="W9" s="40">
        <f>SUMIFS('[2]1.1地产销售计划表'!Y:Y,'[2]1.1地产销售计划表'!B:B,"海沧中心璞盛项目（一期）",'[2]1.1地产销售计划表'!G:G,"住宅-精装非普宅",'[2]1.1地产销售计划表'!H:H,"签约(元）")/100000000</f>
        <v>0</v>
      </c>
      <c r="X9" s="41">
        <f>SUMIFS('[2]1.1地产销售计划表'!Y:Y,'[2]1.1地产销售计划表'!B:B,"海沧中心璞盛项目（二期）",'[2]1.1地产销售计划表'!G:G,"住宅-精装非普宅",'[2]1.1地产销售计划表'!H:H,"签约(元）")/100000000</f>
        <v>0</v>
      </c>
      <c r="Y9" s="45">
        <f>SUM(Z9:AA9)</f>
        <v>0</v>
      </c>
      <c r="Z9" s="40">
        <f>SUMIFS('[2]1.1地产销售计划表'!Z:Z,'[2]1.1地产销售计划表'!B:B,"海沧中心璞盛项目（一期）",'[2]1.1地产销售计划表'!G:G,"住宅-精装非普宅",'[2]1.1地产销售计划表'!H:H,"签约(元）")/100000000</f>
        <v>0</v>
      </c>
      <c r="AA9" s="43">
        <f>SUMIFS('[2]1.1地产销售计划表'!Z:Z,'[2]1.1地产销售计划表'!B:B,"海沧中心璞盛项目（二期）",'[2]1.1地产销售计划表'!G:G,"住宅-精装非普宅",'[2]1.1地产销售计划表'!H:H,"签约(元）")/100000000</f>
        <v>0</v>
      </c>
      <c r="AB9" s="45">
        <f>SUM(AC9:AD9)</f>
        <v>0</v>
      </c>
      <c r="AC9" s="40">
        <f>SUMIFS('[2]1.1地产销售计划表'!AA:AA,'[2]1.1地产销售计划表'!B:B,"海沧中心璞盛项目（一期）",'[2]1.1地产销售计划表'!G:G,"住宅-精装非普宅",'[2]1.1地产销售计划表'!H:H,"签约(元）")/100000000</f>
        <v>0</v>
      </c>
      <c r="AD9" s="41">
        <f>SUMIFS('[2]1.1地产销售计划表'!AA:AA,'[2]1.1地产销售计划表'!B:B,"海沧中心璞盛项目（二期）",'[2]1.1地产销售计划表'!G:G,"住宅-精装非普宅",'[2]1.1地产销售计划表'!H:H,"签约(元）")/100000000</f>
        <v>0</v>
      </c>
      <c r="AE9" s="45">
        <f>SUM(AF9:AG9)</f>
        <v>0</v>
      </c>
      <c r="AF9" s="40">
        <f>SUMIFS('[2]1.1地产销售计划表'!AB:AB,'[2]1.1地产销售计划表'!B:B,"海沧中心璞盛项目（一期）",'[2]1.1地产销售计划表'!G:G,"住宅-精装非普宅",'[2]1.1地产销售计划表'!H:H,"签约(元）")/100000000</f>
        <v>0</v>
      </c>
      <c r="AG9" s="41">
        <f>SUMIFS('[2]1.1地产销售计划表'!AB:AB,'[2]1.1地产销售计划表'!B:B,"海沧中心璞盛项目（二期）",'[2]1.1地产销售计划表'!G:G,"住宅-精装非普宅",'[2]1.1地产销售计划表'!H:H,"签约(元）")/100000000</f>
        <v>0</v>
      </c>
    </row>
    <row r="10" ht="18.15" spans="1:33">
      <c r="A10" s="25"/>
      <c r="B10" s="25"/>
      <c r="C10" s="35" t="s">
        <v>25</v>
      </c>
      <c r="D10" s="36">
        <f t="shared" si="3"/>
        <v>0.710247</v>
      </c>
      <c r="E10" s="37">
        <f t="shared" si="4"/>
        <v>0.628269</v>
      </c>
      <c r="F10" s="38">
        <f t="shared" si="5"/>
        <v>0.081978</v>
      </c>
      <c r="G10" s="36">
        <f t="shared" si="6"/>
        <v>0</v>
      </c>
      <c r="H10" s="37">
        <f>(SUMIFS('[2]1.1地产销售计划表'!N:N,'[2]1.1地产销售计划表'!B:B,"海沧中心璞盛项目（一期）",'[2]1.1地产销售计划表'!G:G,"商业",'[2]1.1地产销售计划表'!H:H,"签约(元）")+SUMIFS('[2]1.1地产销售计划表'!V:V,'[2]1.1地产销售计划表'!B:B,"海沧中心璞盛项目（一期）",'[2]1.1地产销售计划表'!G:G,"商业",'[2]1.1地产销售计划表'!H:H,"签约(元）"))/100000000</f>
        <v>0</v>
      </c>
      <c r="I10" s="38">
        <f>(SUMIFS('[2]1.1地产销售计划表'!N:N,'[2]1.1地产销售计划表'!B:B,"海沧中心璞盛项目（二期）",'[2]1.1地产销售计划表'!G:G,"商业",'[2]1.1地产销售计划表'!H:H,"签约(元）")+SUMIFS('[2]1.1地产销售计划表'!V:V,'[2]1.1地产销售计划表'!B:B,"海沧中心璞盛项目（二期）",'[2]1.1地产销售计划表'!G:G,"商业",'[2]1.1地产销售计划表'!H:H,"签约(元）"))/100000000</f>
        <v>0</v>
      </c>
      <c r="J10" s="45"/>
      <c r="K10" s="40"/>
      <c r="L10" s="41"/>
      <c r="M10" s="46"/>
      <c r="N10" s="40"/>
      <c r="O10" s="43"/>
      <c r="P10" s="45">
        <f>SUM(Q10:R10)</f>
        <v>0</v>
      </c>
      <c r="Q10" s="40">
        <f>SUMIFS('[2]1.1地产销售计划表'!W:W,'[2]1.1地产销售计划表'!B:B,"海沧中心璞盛项目（一期）",'[2]1.1地产销售计划表'!G:G,"商业",'[2]1.1地产销售计划表'!H:H,"签约(元）")/100000000</f>
        <v>0</v>
      </c>
      <c r="R10" s="41">
        <f>SUMIFS('[2]1.1地产销售计划表'!W:W,'[2]1.1地产销售计划表'!B:B,"海沧中心璞盛项目（二期）",'[2]1.1地产销售计划表'!G:G,"商业",'[2]1.1地产销售计划表'!H:H,"签约(元）")/100000000</f>
        <v>0</v>
      </c>
      <c r="S10" s="45">
        <f>SUM(T10:U10)</f>
        <v>0</v>
      </c>
      <c r="T10" s="40">
        <f>SUMIFS('[2]1.1地产销售计划表'!X:X,'[2]1.1地产销售计划表'!B:B,"海沧中心璞盛项目（一期）",'[2]1.1地产销售计划表'!G:G,"商业",'[2]1.1地产销售计划表'!H:H,"签约(元）")/100000000</f>
        <v>0</v>
      </c>
      <c r="U10" s="43">
        <f>SUMIFS('[2]1.1地产销售计划表'!X:X,'[2]1.1地产销售计划表'!B:B,"海沧中心璞盛项目（二期）",'[2]1.1地产销售计划表'!G:G,"商业",'[2]1.1地产销售计划表'!H:H,"签约(元）")/100000000</f>
        <v>0</v>
      </c>
      <c r="V10" s="45">
        <f>SUM(W10:X10)</f>
        <v>0</v>
      </c>
      <c r="W10" s="40">
        <f>SUMIFS('[2]1.1地产销售计划表'!Y:Y,'[2]1.1地产销售计划表'!B:B,"海沧中心璞盛项目（一期）",'[2]1.1地产销售计划表'!G:G,"商业",'[2]1.1地产销售计划表'!H:H,"签约(元）")/100000000</f>
        <v>0</v>
      </c>
      <c r="X10" s="41">
        <f>SUMIFS('[2]1.1地产销售计划表'!Y:Y,'[2]1.1地产销售计划表'!B:B,"海沧中心璞盛项目（二期）",'[2]1.1地产销售计划表'!G:G,"商业",'[2]1.1地产销售计划表'!H:H,"签约(元）")/100000000</f>
        <v>0</v>
      </c>
      <c r="Y10" s="45">
        <f>SUM(Z10:AA10)</f>
        <v>0</v>
      </c>
      <c r="Z10" s="40">
        <f>SUMIFS('[2]1.1地产销售计划表'!Z:Z,'[2]1.1地产销售计划表'!B:B,"海沧中心璞盛项目（一期）",'[2]1.1地产销售计划表'!G:G,"商业",'[2]1.1地产销售计划表'!H:H,"签约(元）")/100000000</f>
        <v>0</v>
      </c>
      <c r="AA10" s="43">
        <f>SUMIFS('[2]1.1地产销售计划表'!Z:Z,'[2]1.1地产销售计划表'!B:B,"海沧中心璞盛项目（二期）",'[2]1.1地产销售计划表'!G:G,"商业",'[2]1.1地产销售计划表'!H:H,"签约(元）")/100000000</f>
        <v>0</v>
      </c>
      <c r="AB10" s="45">
        <f>SUM(AC10:AD10)</f>
        <v>0.710247</v>
      </c>
      <c r="AC10" s="40">
        <f>SUMIFS('[2]1.1地产销售计划表'!AA:AA,'[2]1.1地产销售计划表'!B:B,"海沧中心璞盛项目（一期）",'[2]1.1地产销售计划表'!G:G,"商业",'[2]1.1地产销售计划表'!H:H,"签约(元）")/100000000</f>
        <v>0.628269</v>
      </c>
      <c r="AD10" s="41">
        <f>SUMIFS('[2]1.1地产销售计划表'!AA:AA,'[2]1.1地产销售计划表'!B:B,"海沧中心璞盛项目（二期）",'[2]1.1地产销售计划表'!G:G,"商业",'[2]1.1地产销售计划表'!H:H,"签约(元）")/100000000</f>
        <v>0.081978</v>
      </c>
      <c r="AE10" s="45">
        <f>SUM(AF10:AG10)</f>
        <v>0</v>
      </c>
      <c r="AF10" s="40">
        <f>SUMIFS('[2]1.1地产销售计划表'!AB:AB,'[2]1.1地产销售计划表'!B:B,"海沧中心璞盛项目（一期）",'[2]1.1地产销售计划表'!G:G,"商业",'[2]1.1地产销售计划表'!H:H,"签约(元）")/100000000</f>
        <v>0</v>
      </c>
      <c r="AG10" s="41">
        <f>SUMIFS('[2]1.1地产销售计划表'!AB:AB,'[2]1.1地产销售计划表'!B:B,"海沧中心璞盛项目（二期）",'[2]1.1地产销售计划表'!G:G,"商业",'[2]1.1地产销售计划表'!H:H,"签约(元）")/100000000</f>
        <v>0</v>
      </c>
    </row>
    <row r="11" ht="18.15" spans="1:33">
      <c r="A11" s="25"/>
      <c r="B11" s="25"/>
      <c r="C11" s="47" t="s">
        <v>26</v>
      </c>
      <c r="D11" s="48">
        <f t="shared" si="3"/>
        <v>1.751</v>
      </c>
      <c r="E11" s="49">
        <f t="shared" si="4"/>
        <v>1.4932</v>
      </c>
      <c r="F11" s="50">
        <f t="shared" si="5"/>
        <v>0.2578</v>
      </c>
      <c r="G11" s="48">
        <f t="shared" si="6"/>
        <v>0.2841</v>
      </c>
      <c r="H11" s="49">
        <f>(SUMIFS('[2]1.1地产销售计划表'!N:N,'[2]1.1地产销售计划表'!B:B,"海沧中心璞盛项目（一期）",'[2]1.1地产销售计划表'!G:G,"车位",'[2]1.1地产销售计划表'!H:H,"签约(元）")+SUMIFS('[2]1.1地产销售计划表'!V:V,'[2]1.1地产销售计划表'!B:B,"海沧中心璞盛项目（一期）",'[2]1.1地产销售计划表'!G:G,"车位",'[2]1.1地产销售计划表'!H:H,"签约(元）"))/100000000</f>
        <v>0.2163</v>
      </c>
      <c r="I11" s="50">
        <f>(SUMIFS('[2]1.1地产销售计划表'!N:N,'[2]1.1地产销售计划表'!B:B,"海沧中心璞盛项目（二期）",'[2]1.1地产销售计划表'!G:G,"车位",'[2]1.1地产销售计划表'!H:H,"签约(元）")+SUMIFS('[2]1.1地产销售计划表'!V:V,'[2]1.1地产销售计划表'!B:B,"海沧中心璞盛项目（二期）",'[2]1.1地产销售计划表'!G:G,"车位",'[2]1.1地产销售计划表'!H:H,"签约(元）"))/100000000</f>
        <v>0.0678</v>
      </c>
      <c r="J11" s="51"/>
      <c r="K11" s="52"/>
      <c r="L11" s="53"/>
      <c r="M11" s="54"/>
      <c r="N11" s="52"/>
      <c r="O11" s="55"/>
      <c r="P11" s="51">
        <f>SUM(Q11:R11)</f>
        <v>0.0608</v>
      </c>
      <c r="Q11" s="52">
        <f>SUMIFS('[2]1.1地产销售计划表'!W:W,'[2]1.1地产销售计划表'!B:B,"海沧中心璞盛项目（一期）",'[2]1.1地产销售计划表'!G:G,"车位",'[2]1.1地产销售计划表'!H:H,"签约(元）")/100000000</f>
        <v>0.0608</v>
      </c>
      <c r="R11" s="53">
        <f>SUMIFS('[2]1.1地产销售计划表'!W:W,'[2]1.1地产销售计划表'!B:B,"海沧中心璞盛项目（二期）",'[2]1.1地产销售计划表'!G:G,"车位",'[2]1.1地产销售计划表'!H:H,"签约(元）")/100000000</f>
        <v>0</v>
      </c>
      <c r="S11" s="51">
        <f>SUM(T11:U11)</f>
        <v>0.391689</v>
      </c>
      <c r="T11" s="52">
        <f>SUMIFS('[2]1.1地产销售计划表'!X:X,'[2]1.1地产销售计划表'!B:B,"海沧中心璞盛项目（一期）",'[2]1.1地产销售计划表'!G:G,"车位",'[2]1.1地产销售计划表'!H:H,"签约(元）")/100000000</f>
        <v>0.278389</v>
      </c>
      <c r="U11" s="55">
        <f>SUMIFS('[2]1.1地产销售计划表'!X:X,'[2]1.1地产销售计划表'!B:B,"海沧中心璞盛项目（二期）",'[2]1.1地产销售计划表'!G:G,"车位",'[2]1.1地产销售计划表'!H:H,"签约(元）")/100000000</f>
        <v>0.1133</v>
      </c>
      <c r="V11" s="51">
        <f>SUM(W11:X11)</f>
        <v>0.442411</v>
      </c>
      <c r="W11" s="52">
        <f>SUMIFS('[2]1.1地产销售计划表'!Y:Y,'[2]1.1地产销售计划表'!B:B,"海沧中心璞盛项目（一期）",'[2]1.1地产销售计划表'!G:G,"车位",'[2]1.1地产销售计划表'!H:H,"签约(元）")/100000000</f>
        <v>0.442411</v>
      </c>
      <c r="X11" s="53">
        <f>SUMIFS('[2]1.1地产销售计划表'!Y:Y,'[2]1.1地产销售计划表'!B:B,"海沧中心璞盛项目（二期）",'[2]1.1地产销售计划表'!G:G,"车位",'[2]1.1地产销售计划表'!H:H,"签约(元）")/100000000</f>
        <v>0</v>
      </c>
      <c r="Y11" s="51">
        <f>SUM(Z11:AA11)</f>
        <v>0</v>
      </c>
      <c r="Z11" s="52">
        <f>SUMIFS('[2]1.1地产销售计划表'!Z:Z,'[2]1.1地产销售计划表'!B:B,"海沧中心璞盛项目（一期）",'[2]1.1地产销售计划表'!G:G,"车位",'[2]1.1地产销售计划表'!H:H,"签约(元）")/100000000</f>
        <v>0</v>
      </c>
      <c r="AA11" s="55">
        <f>SUMIFS('[2]1.1地产销售计划表'!Z:Z,'[2]1.1地产销售计划表'!B:B,"海沧中心璞盛项目（二期）",'[2]1.1地产销售计划表'!G:G,"车位",'[2]1.1地产销售计划表'!H:H,"签约(元）")/100000000</f>
        <v>0</v>
      </c>
      <c r="AB11" s="51">
        <f>SUM(AC11:AD11)</f>
        <v>0.572</v>
      </c>
      <c r="AC11" s="52">
        <f>+AC21*AC26/10000</f>
        <v>0.4953</v>
      </c>
      <c r="AD11" s="53">
        <f>+AD21*AD26/10000</f>
        <v>0.0767</v>
      </c>
      <c r="AE11" s="51">
        <f>SUM(AF11:AG11)</f>
        <v>0</v>
      </c>
      <c r="AF11" s="52">
        <f>SUMIFS('[2]1.1地产销售计划表'!AB:AB,'[2]1.1地产销售计划表'!B:B,"海沧中心璞盛项目（一期）",'[2]1.1地产销售计划表'!G:G,"车位",'[2]1.1地产销售计划表'!H:H,"签约(元）")/100000000</f>
        <v>0</v>
      </c>
      <c r="AG11" s="53">
        <f>SUMIFS('[2]1.1地产销售计划表'!AB:AB,'[2]1.1地产销售计划表'!B:B,"海沧中心璞盛项目（二期）",'[2]1.1地产销售计划表'!G:G,"车位",'[2]1.1地产销售计划表'!H:H,"签约(元）")/100000000</f>
        <v>0</v>
      </c>
    </row>
    <row r="12" ht="18.15" spans="1:33">
      <c r="A12" s="25" t="s">
        <v>27</v>
      </c>
      <c r="B12" s="25"/>
      <c r="C12" s="26" t="s">
        <v>22</v>
      </c>
      <c r="D12" s="27">
        <f t="shared" si="3"/>
        <v>12.032753</v>
      </c>
      <c r="E12" s="28">
        <f t="shared" si="4"/>
        <v>9.643089</v>
      </c>
      <c r="F12" s="29">
        <f t="shared" si="5"/>
        <v>2.389664</v>
      </c>
      <c r="G12" s="27">
        <f t="shared" si="6"/>
        <v>8.731332</v>
      </c>
      <c r="H12" s="28">
        <f t="shared" ref="H12:AG12" si="7">SUM(H13:H14)</f>
        <v>6.595078</v>
      </c>
      <c r="I12" s="29">
        <f t="shared" si="7"/>
        <v>2.136254</v>
      </c>
      <c r="J12" s="56">
        <f t="shared" si="7"/>
        <v>0</v>
      </c>
      <c r="K12" s="31">
        <f t="shared" si="7"/>
        <v>0</v>
      </c>
      <c r="L12" s="32">
        <f t="shared" si="7"/>
        <v>0</v>
      </c>
      <c r="M12" s="57">
        <f t="shared" si="7"/>
        <v>0</v>
      </c>
      <c r="N12" s="31">
        <f t="shared" si="7"/>
        <v>0</v>
      </c>
      <c r="O12" s="34">
        <f t="shared" si="7"/>
        <v>0</v>
      </c>
      <c r="P12" s="56">
        <f t="shared" si="7"/>
        <v>2.16624221428572</v>
      </c>
      <c r="Q12" s="31">
        <f t="shared" si="7"/>
        <v>1.91283221428572</v>
      </c>
      <c r="R12" s="32">
        <f t="shared" si="7"/>
        <v>0.25341</v>
      </c>
      <c r="S12" s="56">
        <f t="shared" si="7"/>
        <v>1.13517878571428</v>
      </c>
      <c r="T12" s="31">
        <f t="shared" si="7"/>
        <v>1.13517878571428</v>
      </c>
      <c r="U12" s="34">
        <f t="shared" si="7"/>
        <v>0</v>
      </c>
      <c r="V12" s="56">
        <f t="shared" si="7"/>
        <v>0</v>
      </c>
      <c r="W12" s="31">
        <f t="shared" si="7"/>
        <v>0</v>
      </c>
      <c r="X12" s="32">
        <f t="shared" si="7"/>
        <v>0</v>
      </c>
      <c r="Y12" s="56">
        <f t="shared" si="7"/>
        <v>0</v>
      </c>
      <c r="Z12" s="31">
        <f t="shared" si="7"/>
        <v>0</v>
      </c>
      <c r="AA12" s="34">
        <f t="shared" si="7"/>
        <v>0</v>
      </c>
      <c r="AB12" s="56">
        <f t="shared" si="7"/>
        <v>0</v>
      </c>
      <c r="AC12" s="31">
        <f t="shared" si="7"/>
        <v>0</v>
      </c>
      <c r="AD12" s="32">
        <f t="shared" si="7"/>
        <v>0</v>
      </c>
      <c r="AE12" s="56">
        <f t="shared" si="7"/>
        <v>0</v>
      </c>
      <c r="AF12" s="31">
        <f t="shared" si="7"/>
        <v>0</v>
      </c>
      <c r="AG12" s="32">
        <f t="shared" si="7"/>
        <v>0</v>
      </c>
    </row>
    <row r="13" ht="18.15" spans="1:33">
      <c r="A13" s="25"/>
      <c r="B13" s="25"/>
      <c r="C13" s="44" t="s">
        <v>23</v>
      </c>
      <c r="D13" s="36">
        <f t="shared" si="3"/>
        <v>9.143207</v>
      </c>
      <c r="E13" s="37">
        <f t="shared" si="4"/>
        <v>6.753543</v>
      </c>
      <c r="F13" s="38">
        <f t="shared" si="5"/>
        <v>2.389664</v>
      </c>
      <c r="G13" s="36">
        <f t="shared" si="6"/>
        <v>8.731332</v>
      </c>
      <c r="H13" s="37">
        <f>(SUMIFS('[2]1.1地产销售计划表'!N:N,'[2]1.1地产销售计划表'!B:B,"海沧中心璞盛项目（一期）",'[2]1.1地产销售计划表'!G:G,"住宅-精装普宅",'[2]1.1地产销售计划表'!H:H,"面积（㎡）")+SUMIFS('[2]1.1地产销售计划表'!V:V,'[2]1.1地产销售计划表'!B:B,"海沧中心璞盛项目（一期）",'[2]1.1地产销售计划表'!G:G,"住宅-精装普宅",'[2]1.1地产销售计划表'!H:H,"面积（㎡）"))/10000</f>
        <v>6.595078</v>
      </c>
      <c r="I13" s="38">
        <f>(SUMIFS('[2]1.1地产销售计划表'!N:N,'[2]1.1地产销售计划表'!B:B,"海沧中心璞盛项目（二期）",'[2]1.1地产销售计划表'!G:G,"住宅-精装普宅",'[2]1.1地产销售计划表'!H:H,"面积（㎡）")+SUMIFS('[2]1.1地产销售计划表'!V:V,'[2]1.1地产销售计划表'!B:B,"海沧中心璞盛项目（二期）",'[2]1.1地产销售计划表'!G:G,"住宅-精装普宅",'[2]1.1地产销售计划表'!H:H,"面积（㎡）"))/10000</f>
        <v>2.136254</v>
      </c>
      <c r="J13" s="45"/>
      <c r="K13" s="40"/>
      <c r="L13" s="41"/>
      <c r="M13" s="46"/>
      <c r="N13" s="40"/>
      <c r="O13" s="43"/>
      <c r="P13" s="45">
        <f>SUM(Q13:R13)</f>
        <v>0.411875</v>
      </c>
      <c r="Q13" s="40">
        <f>SUMIFS('[2]1.1地产销售计划表'!W:W,'[2]1.1地产销售计划表'!B:B,"海沧中心璞盛项目（一期）",'[2]1.1地产销售计划表'!G:G,"住宅-精装普宅",'[2]1.1地产销售计划表'!H:H,"面积（㎡）")/10000</f>
        <v>0.158465</v>
      </c>
      <c r="R13" s="41">
        <f>SUMIFS('[2]1.1地产销售计划表'!W:W,'[2]1.1地产销售计划表'!B:B,"海沧中心璞盛项目（二期）",'[2]1.1地产销售计划表'!G:G,"住宅-精装普宅",'[2]1.1地产销售计划表'!H:H,"面积（㎡）")/10000</f>
        <v>0.25341</v>
      </c>
      <c r="S13" s="45">
        <f>SUM(T13:U13)</f>
        <v>0</v>
      </c>
      <c r="T13" s="40">
        <f>SUMIFS('[2]1.1地产销售计划表'!X:X,'[2]1.1地产销售计划表'!B:B,"海沧中心璞盛项目（一期）",'[2]1.1地产销售计划表'!G:G,"住宅-精装普宅",'[2]1.1地产销售计划表'!H:H,"面积（㎡）")/10000</f>
        <v>0</v>
      </c>
      <c r="U13" s="43">
        <f>SUMIFS('[2]1.1地产销售计划表'!X:X,'[2]1.1地产销售计划表'!B:B,"海沧中心璞盛项目（二期）",'[2]1.1地产销售计划表'!G:G,"住宅-精装普宅",'[2]1.1地产销售计划表'!H:H,"面积（㎡）")/10000</f>
        <v>0</v>
      </c>
      <c r="V13" s="45">
        <f>SUM(W13:X13)</f>
        <v>0</v>
      </c>
      <c r="W13" s="40">
        <f>SUMIFS('[2]1.1地产销售计划表'!Y:Y,'[2]1.1地产销售计划表'!B:B,"海沧中心璞盛项目（一期）",'[2]1.1地产销售计划表'!G:G,"住宅-精装普宅",'[2]1.1地产销售计划表'!H:H,"面积（㎡）")/10000</f>
        <v>0</v>
      </c>
      <c r="X13" s="41">
        <f>SUMIFS('[2]1.1地产销售计划表'!Y:Y,'[2]1.1地产销售计划表'!B:B,"海沧中心璞盛项目（二期）",'[2]1.1地产销售计划表'!G:G,"住宅-精装普宅",'[2]1.1地产销售计划表'!H:H,"面积（㎡）")/10000</f>
        <v>0</v>
      </c>
      <c r="Y13" s="45">
        <f>SUM(Z13:AA13)</f>
        <v>0</v>
      </c>
      <c r="Z13" s="40">
        <f>SUMIFS('[2]1.1地产销售计划表'!Z:Z,'[2]1.1地产销售计划表'!B:B,"海沧中心璞盛项目（一期）",'[2]1.1地产销售计划表'!G:G,"住宅-精装普宅",'[2]1.1地产销售计划表'!H:H,"面积（㎡）")/10000</f>
        <v>0</v>
      </c>
      <c r="AA13" s="43">
        <f>SUMIFS('[2]1.1地产销售计划表'!Z:Z,'[2]1.1地产销售计划表'!B:B,"海沧中心璞盛项目（二期）",'[2]1.1地产销售计划表'!G:G,"住宅-精装普宅",'[2]1.1地产销售计划表'!H:H,"面积（㎡）")/10000</f>
        <v>0</v>
      </c>
      <c r="AB13" s="45">
        <f>SUM(AC13:AD13)</f>
        <v>0</v>
      </c>
      <c r="AC13" s="40">
        <f>SUMIFS('[2]1.1地产销售计划表'!AA:AA,'[2]1.1地产销售计划表'!B:B,"海沧中心璞盛项目（一期）",'[2]1.1地产销售计划表'!G:G,"住宅-精装普宅",'[2]1.1地产销售计划表'!H:H,"面积（㎡）")/10000</f>
        <v>0</v>
      </c>
      <c r="AD13" s="41">
        <f>SUMIFS('[2]1.1地产销售计划表'!AA:AA,'[2]1.1地产销售计划表'!B:B,"海沧中心璞盛项目（二期）",'[2]1.1地产销售计划表'!G:G,"住宅-精装普宅",'[2]1.1地产销售计划表'!H:H,"面积（㎡）")/10000</f>
        <v>0</v>
      </c>
      <c r="AE13" s="45">
        <f>SUM(AF13:AG13)</f>
        <v>0</v>
      </c>
      <c r="AF13" s="40">
        <f>SUMIFS('[2]1.1地产销售计划表'!AB:AB,'[2]1.1地产销售计划表'!B:B,"海沧中心璞盛项目（一期）",'[2]1.1地产销售计划表'!G:G,"住宅-精装普宅",'[2]1.1地产销售计划表'!H:H,"面积（㎡）")/10000</f>
        <v>0</v>
      </c>
      <c r="AG13" s="41">
        <f>SUMIFS('[2]1.1地产销售计划表'!AB:AB,'[2]1.1地产销售计划表'!B:B,"海沧中心璞盛项目（二期）",'[2]1.1地产销售计划表'!G:G,"住宅-精装普宅",'[2]1.1地产销售计划表'!H:H,"面积（㎡）")/10000</f>
        <v>0</v>
      </c>
    </row>
    <row r="14" ht="18.15" spans="1:33">
      <c r="A14" s="25"/>
      <c r="B14" s="25"/>
      <c r="C14" s="44" t="s">
        <v>24</v>
      </c>
      <c r="D14" s="36">
        <f t="shared" si="3"/>
        <v>2.889546</v>
      </c>
      <c r="E14" s="37">
        <f t="shared" si="4"/>
        <v>2.889546</v>
      </c>
      <c r="F14" s="38">
        <f t="shared" si="5"/>
        <v>0</v>
      </c>
      <c r="G14" s="36">
        <f t="shared" si="6"/>
        <v>0</v>
      </c>
      <c r="H14" s="37">
        <f>(SUMIFS('[2]1.1地产销售计划表'!N:N,'[2]1.1地产销售计划表'!B:B,"海沧中心璞盛项目（一期）",'[2]1.1地产销售计划表'!G:G,"住宅-精装非普宅",'[2]1.1地产销售计划表'!H:H,"面积（㎡）")+SUMIFS('[2]1.1地产销售计划表'!V:V,'[2]1.1地产销售计划表'!B:B,"海沧中心璞盛项目（一期）",'[2]1.1地产销售计划表'!G:G,"住宅-精装非普宅",'[2]1.1地产销售计划表'!H:H,"面积（㎡）"))/10000</f>
        <v>0</v>
      </c>
      <c r="I14" s="38">
        <f>(SUMIFS('[2]1.1地产销售计划表'!N:N,'[2]1.1地产销售计划表'!B:B,"海沧中心璞盛项目（二期）",'[2]1.1地产销售计划表'!G:G,"住宅-精装非普宅",'[2]1.1地产销售计划表'!H:H,"面积（㎡）")+SUMIFS('[2]1.1地产销售计划表'!V:V,'[2]1.1地产销售计划表'!B:B,"海沧中心璞盛项目（二期）",'[2]1.1地产销售计划表'!G:G,"住宅-精装非普宅",'[2]1.1地产销售计划表'!H:H,"面积（㎡）"))/10000</f>
        <v>0</v>
      </c>
      <c r="J14" s="45"/>
      <c r="K14" s="40"/>
      <c r="L14" s="41"/>
      <c r="M14" s="46"/>
      <c r="N14" s="40"/>
      <c r="O14" s="43"/>
      <c r="P14" s="45">
        <f>SUM(Q14:R14)</f>
        <v>1.75436721428572</v>
      </c>
      <c r="Q14" s="40">
        <f>SUMIFS('[2]1.1地产销售计划表'!W:W,'[2]1.1地产销售计划表'!B:B,"海沧中心璞盛项目（一期）",'[2]1.1地产销售计划表'!G:G,"住宅-精装非普宅",'[2]1.1地产销售计划表'!H:H,"面积（㎡）")/10000</f>
        <v>1.75436721428572</v>
      </c>
      <c r="R14" s="41">
        <f>SUMIFS('[2]1.1地产销售计划表'!W:W,'[2]1.1地产销售计划表'!B:B,"海沧中心璞盛项目（二期）",'[2]1.1地产销售计划表'!G:G,"住宅-精装非普宅",'[2]1.1地产销售计划表'!H:H,"面积（㎡）")/10000</f>
        <v>0</v>
      </c>
      <c r="S14" s="45">
        <f>SUM(T14:U14)</f>
        <v>1.13517878571428</v>
      </c>
      <c r="T14" s="40">
        <f>SUMIFS('[2]1.1地产销售计划表'!X:X,'[2]1.1地产销售计划表'!B:B,"海沧中心璞盛项目（一期）",'[2]1.1地产销售计划表'!G:G,"住宅-精装非普宅",'[2]1.1地产销售计划表'!H:H,"面积（㎡）")/10000</f>
        <v>1.13517878571428</v>
      </c>
      <c r="U14" s="43">
        <f>SUMIFS('[2]1.1地产销售计划表'!X:X,'[2]1.1地产销售计划表'!B:B,"海沧中心璞盛项目（二期）",'[2]1.1地产销售计划表'!G:G,"住宅-精装非普宅",'[2]1.1地产销售计划表'!H:H,"面积（㎡）")/10000</f>
        <v>0</v>
      </c>
      <c r="V14" s="45">
        <f>SUM(W14:X14)</f>
        <v>0</v>
      </c>
      <c r="W14" s="40">
        <f>SUMIFS('[2]1.1地产销售计划表'!Y:Y,'[2]1.1地产销售计划表'!B:B,"海沧中心璞盛项目（一期）",'[2]1.1地产销售计划表'!G:G,"住宅-精装非普宅",'[2]1.1地产销售计划表'!H:H,"面积（㎡）")/10000</f>
        <v>0</v>
      </c>
      <c r="X14" s="41">
        <f>SUMIFS('[2]1.1地产销售计划表'!Y:Y,'[2]1.1地产销售计划表'!B:B,"海沧中心璞盛项目（二期）",'[2]1.1地产销售计划表'!G:G,"住宅-精装非普宅",'[2]1.1地产销售计划表'!H:H,"面积（㎡）")/10000</f>
        <v>0</v>
      </c>
      <c r="Y14" s="45">
        <f>SUM(Z14:AA14)</f>
        <v>0</v>
      </c>
      <c r="Z14" s="40">
        <f>SUMIFS('[2]1.1地产销售计划表'!Z:Z,'[2]1.1地产销售计划表'!B:B,"海沧中心璞盛项目（一期）",'[2]1.1地产销售计划表'!G:G,"住宅-精装非普宅",'[2]1.1地产销售计划表'!H:H,"面积（㎡）")/10000</f>
        <v>0</v>
      </c>
      <c r="AA14" s="43">
        <f>SUMIFS('[2]1.1地产销售计划表'!Z:Z,'[2]1.1地产销售计划表'!B:B,"海沧中心璞盛项目（二期）",'[2]1.1地产销售计划表'!G:G,"住宅-精装非普宅",'[2]1.1地产销售计划表'!H:H,"面积（㎡）")/10000</f>
        <v>0</v>
      </c>
      <c r="AB14" s="45">
        <f>SUM(AC14:AD14)</f>
        <v>0</v>
      </c>
      <c r="AC14" s="40">
        <f>SUMIFS('[2]1.1地产销售计划表'!AA:AA,'[2]1.1地产销售计划表'!B:B,"海沧中心璞盛项目（一期）",'[2]1.1地产销售计划表'!G:G,"住宅-精装非普宅",'[2]1.1地产销售计划表'!H:H,"面积（㎡）")/10000</f>
        <v>0</v>
      </c>
      <c r="AD14" s="41">
        <f>SUMIFS('[2]1.1地产销售计划表'!AA:AA,'[2]1.1地产销售计划表'!B:B,"海沧中心璞盛项目（二期）",'[2]1.1地产销售计划表'!G:G,"住宅-精装非普宅",'[2]1.1地产销售计划表'!H:H,"面积（㎡）")/10000</f>
        <v>0</v>
      </c>
      <c r="AE14" s="45">
        <f>SUM(AF14:AG14)</f>
        <v>0</v>
      </c>
      <c r="AF14" s="40">
        <f>SUMIFS('[2]1.1地产销售计划表'!AB:AB,'[2]1.1地产销售计划表'!B:B,"海沧中心璞盛项目（一期）",'[2]1.1地产销售计划表'!G:G,"住宅-精装非普宅",'[2]1.1地产销售计划表'!H:H,"面积（㎡）")/10000</f>
        <v>0</v>
      </c>
      <c r="AG14" s="41">
        <f>SUMIFS('[2]1.1地产销售计划表'!AB:AB,'[2]1.1地产销售计划表'!B:B,"海沧中心璞盛项目（二期）",'[2]1.1地产销售计划表'!G:G,"住宅-精装非普宅",'[2]1.1地产销售计划表'!H:H,"面积（㎡）")/10000</f>
        <v>0</v>
      </c>
    </row>
    <row r="15" ht="18.15" spans="1:33">
      <c r="A15" s="25"/>
      <c r="B15" s="25"/>
      <c r="C15" s="35" t="s">
        <v>25</v>
      </c>
      <c r="D15" s="36">
        <f t="shared" si="3"/>
        <v>0.236749</v>
      </c>
      <c r="E15" s="37">
        <f t="shared" si="4"/>
        <v>0.209423</v>
      </c>
      <c r="F15" s="38">
        <f t="shared" si="5"/>
        <v>0.027326</v>
      </c>
      <c r="G15" s="36">
        <f t="shared" si="6"/>
        <v>0</v>
      </c>
      <c r="H15" s="37">
        <f>(SUMIFS('[2]1.1地产销售计划表'!N:N,'[2]1.1地产销售计划表'!B:B,"海沧中心璞盛项目（一期）",'[2]1.1地产销售计划表'!G:G,"商业",'[2]1.1地产销售计划表'!H:H,"面积（㎡）")+SUMIFS('[2]1.1地产销售计划表'!V:V,'[2]1.1地产销售计划表'!B:B,"海沧中心璞盛项目（一期）",'[2]1.1地产销售计划表'!G:G,"商业",'[2]1.1地产销售计划表'!H:H,"面积（㎡）"))/10000</f>
        <v>0</v>
      </c>
      <c r="I15" s="38">
        <f>(SUMIFS('[2]1.1地产销售计划表'!N:N,'[2]1.1地产销售计划表'!B:B,"海沧中心璞盛项目（二期）",'[2]1.1地产销售计划表'!G:G,"商业",'[2]1.1地产销售计划表'!H:H,"面积（㎡）")+SUMIFS('[2]1.1地产销售计划表'!V:V,'[2]1.1地产销售计划表'!B:B,"海沧中心璞盛项目（二期）",'[2]1.1地产销售计划表'!G:G,"商业",'[2]1.1地产销售计划表'!H:H,"面积（㎡）"))/10000</f>
        <v>0</v>
      </c>
      <c r="J15" s="45"/>
      <c r="K15" s="40"/>
      <c r="L15" s="41"/>
      <c r="M15" s="46"/>
      <c r="N15" s="40"/>
      <c r="O15" s="43"/>
      <c r="P15" s="45">
        <f>SUM(Q15:R15)</f>
        <v>0</v>
      </c>
      <c r="Q15" s="40">
        <f>SUMIFS('[2]1.1地产销售计划表'!W:W,'[2]1.1地产销售计划表'!B:B,"海沧中心璞盛项目（一期）",'[2]1.1地产销售计划表'!G:G,"商业",'[2]1.1地产销售计划表'!H:H,"面积（㎡）")/10000</f>
        <v>0</v>
      </c>
      <c r="R15" s="41">
        <f>SUMIFS('[2]1.1地产销售计划表'!W:W,'[2]1.1地产销售计划表'!B:B,"海沧中心璞盛项目（二期）",'[2]1.1地产销售计划表'!G:G,"商业",'[2]1.1地产销售计划表'!H:H,"面积（㎡）")/10000</f>
        <v>0</v>
      </c>
      <c r="S15" s="45">
        <f>SUM(T15:U15)</f>
        <v>0</v>
      </c>
      <c r="T15" s="40">
        <f>SUMIFS('[2]1.1地产销售计划表'!X:X,'[2]1.1地产销售计划表'!B:B,"海沧中心璞盛项目（一期）",'[2]1.1地产销售计划表'!G:G,"商业",'[2]1.1地产销售计划表'!H:H,"面积（㎡）")/10000</f>
        <v>0</v>
      </c>
      <c r="U15" s="43">
        <f>SUMIFS('[2]1.1地产销售计划表'!X:X,'[2]1.1地产销售计划表'!B:B,"海沧中心璞盛项目（二期）",'[2]1.1地产销售计划表'!G:G,"商业",'[2]1.1地产销售计划表'!H:H,"面积（㎡）")/10000</f>
        <v>0</v>
      </c>
      <c r="V15" s="45">
        <f>SUM(W15:X15)</f>
        <v>0</v>
      </c>
      <c r="W15" s="40">
        <f>SUMIFS('[2]1.1地产销售计划表'!Y:Y,'[2]1.1地产销售计划表'!B:B,"海沧中心璞盛项目（一期）",'[2]1.1地产销售计划表'!G:G,"商业",'[2]1.1地产销售计划表'!H:H,"面积（㎡）")/10000</f>
        <v>0</v>
      </c>
      <c r="X15" s="41">
        <f>SUMIFS('[2]1.1地产销售计划表'!Y:Y,'[2]1.1地产销售计划表'!B:B,"海沧中心璞盛项目（二期）",'[2]1.1地产销售计划表'!G:G,"商业",'[2]1.1地产销售计划表'!H:H,"面积（㎡）")/10000</f>
        <v>0</v>
      </c>
      <c r="Y15" s="45">
        <f>SUM(Z15:AA15)</f>
        <v>0</v>
      </c>
      <c r="Z15" s="40">
        <f>SUMIFS('[2]1.1地产销售计划表'!Z:Z,'[2]1.1地产销售计划表'!B:B,"海沧中心璞盛项目（一期）",'[2]1.1地产销售计划表'!G:G,"商业",'[2]1.1地产销售计划表'!H:H,"面积（㎡）")/10000</f>
        <v>0</v>
      </c>
      <c r="AA15" s="43">
        <f>SUMIFS('[2]1.1地产销售计划表'!Z:Z,'[2]1.1地产销售计划表'!B:B,"海沧中心璞盛项目（二期）",'[2]1.1地产销售计划表'!G:G,"商业",'[2]1.1地产销售计划表'!H:H,"面积（㎡）")/10000</f>
        <v>0</v>
      </c>
      <c r="AB15" s="45">
        <f>SUM(AC15:AD15)</f>
        <v>0.236749</v>
      </c>
      <c r="AC15" s="40">
        <f>SUMIFS('[2]1.1地产销售计划表'!AA:AA,'[2]1.1地产销售计划表'!B:B,"海沧中心璞盛项目（一期）",'[2]1.1地产销售计划表'!G:G,"商业",'[2]1.1地产销售计划表'!H:H,"面积（㎡）")/10000</f>
        <v>0.209423</v>
      </c>
      <c r="AD15" s="41">
        <f>SUMIFS('[2]1.1地产销售计划表'!AA:AA,'[2]1.1地产销售计划表'!B:B,"海沧中心璞盛项目（二期）",'[2]1.1地产销售计划表'!G:G,"商业",'[2]1.1地产销售计划表'!H:H,"面积（㎡）")/10000</f>
        <v>0.027326</v>
      </c>
      <c r="AE15" s="45">
        <f>SUM(AF15:AG15)</f>
        <v>0</v>
      </c>
      <c r="AF15" s="40">
        <f>SUMIFS('[2]1.1地产销售计划表'!AB:AB,'[2]1.1地产销售计划表'!B:B,"海沧中心璞盛项目（一期）",'[2]1.1地产销售计划表'!G:G,"商业",'[2]1.1地产销售计划表'!H:H,"面积（㎡）")/10000</f>
        <v>0</v>
      </c>
      <c r="AG15" s="41">
        <f>SUMIFS('[2]1.1地产销售计划表'!AB:AB,'[2]1.1地产销售计划表'!B:B,"海沧中心璞盛项目（二期）",'[2]1.1地产销售计划表'!G:G,"商业",'[2]1.1地产销售计划表'!H:H,"面积（㎡）")/10000</f>
        <v>0</v>
      </c>
    </row>
    <row r="16" ht="18.15" spans="1:33">
      <c r="A16" s="25"/>
      <c r="B16" s="25"/>
      <c r="C16" s="47" t="s">
        <v>26</v>
      </c>
      <c r="D16" s="48">
        <f t="shared" si="3"/>
        <v>3.59630055560337</v>
      </c>
      <c r="E16" s="49">
        <f t="shared" si="4"/>
        <v>3.03305797452229</v>
      </c>
      <c r="F16" s="50">
        <f t="shared" si="5"/>
        <v>0.563242581081081</v>
      </c>
      <c r="G16" s="48">
        <f t="shared" si="6"/>
        <v>0.402369</v>
      </c>
      <c r="H16" s="49">
        <f>(SUMIFS('[2]1.1地产销售计划表'!N:N,'[2]1.1地产销售计划表'!B:B,"海沧中心璞盛项目（一期）",'[2]1.1地产销售计划表'!G:G,"车位",'[2]1.1地产销售计划表'!H:H,"面积（㎡）")+SUMIFS('[2]1.1地产销售计划表'!V:V,'[2]1.1地产销售计划表'!B:B,"海沧中心璞盛项目（一期）",'[2]1.1地产销售计划表'!G:G,"车位",'[2]1.1地产销售计划表'!H:H,"面积（㎡）"))/10000</f>
        <v>0.312405</v>
      </c>
      <c r="I16" s="50">
        <f>(SUMIFS('[2]1.1地产销售计划表'!N:N,'[2]1.1地产销售计划表'!B:B,"海沧中心璞盛项目（二期）",'[2]1.1地产销售计划表'!G:G,"车位",'[2]1.1地产销售计划表'!H:H,"面积（㎡）")+SUMIFS('[2]1.1地产销售计划表'!V:V,'[2]1.1地产销售计划表'!B:B,"海沧中心璞盛项目（二期）",'[2]1.1地产销售计划表'!G:G,"车位",'[2]1.1地产销售计划表'!H:H,"面积（㎡）"))/10000</f>
        <v>0.089964</v>
      </c>
      <c r="J16" s="51"/>
      <c r="K16" s="52"/>
      <c r="L16" s="53"/>
      <c r="M16" s="54"/>
      <c r="N16" s="52"/>
      <c r="O16" s="55"/>
      <c r="P16" s="51">
        <f>SUM(Q16:R16)</f>
        <v>0.122094</v>
      </c>
      <c r="Q16" s="52">
        <f>SUMIFS('[2]1.1地产销售计划表'!W:W,'[2]1.1地产销售计划表'!B:B,"海沧中心璞盛项目（一期）",'[2]1.1地产销售计划表'!G:G,"车位",'[2]1.1地产销售计划表'!H:H,"面积（㎡）")/10000</f>
        <v>0.122094</v>
      </c>
      <c r="R16" s="53">
        <f>SUMIFS('[2]1.1地产销售计划表'!W:W,'[2]1.1地产销售计划表'!B:B,"海沧中心璞盛项目（二期）",'[2]1.1地产销售计划表'!G:G,"车位",'[2]1.1地产销售计划表'!H:H,"面积（㎡）")/10000</f>
        <v>0</v>
      </c>
      <c r="S16" s="51">
        <f>SUM(T16:U16)</f>
        <v>0.740981</v>
      </c>
      <c r="T16" s="52">
        <f>SUMIFS('[2]1.1地产销售计划表'!X:X,'[2]1.1地产销售计划表'!B:B,"海沧中心璞盛项目（一期）",'[2]1.1地产销售计划表'!G:G,"车位",'[2]1.1地产销售计划表'!H:H,"面积（㎡）")/10000</f>
        <v>0.536571</v>
      </c>
      <c r="U16" s="55">
        <f>SUMIFS('[2]1.1地产销售计划表'!X:X,'[2]1.1地产销售计划表'!B:B,"海沧中心璞盛项目（二期）",'[2]1.1地产销售计划表'!G:G,"车位",'[2]1.1地产销售计划表'!H:H,"面积（㎡）")/10000</f>
        <v>0.20441</v>
      </c>
      <c r="V16" s="51">
        <f>SUM(W16:X16)</f>
        <v>0.862566</v>
      </c>
      <c r="W16" s="52">
        <f>SUMIFS('[2]1.1地产销售计划表'!Y:Y,'[2]1.1地产销售计划表'!B:B,"海沧中心璞盛项目（一期）",'[2]1.1地产销售计划表'!G:G,"车位",'[2]1.1地产销售计划表'!H:H,"面积（㎡）")/10000</f>
        <v>0.862566</v>
      </c>
      <c r="X16" s="53">
        <f>SUMIFS('[2]1.1地产销售计划表'!Y:Y,'[2]1.1地产销售计划表'!B:B,"海沧中心璞盛项目（二期）",'[2]1.1地产销售计划表'!G:G,"车位",'[2]1.1地产销售计划表'!H:H,"面积（㎡）")/10000</f>
        <v>0</v>
      </c>
      <c r="Y16" s="51">
        <f>SUM(Z16:AA16)</f>
        <v>0</v>
      </c>
      <c r="Z16" s="52">
        <f>SUMIFS('[2]1.1地产销售计划表'!Z:Z,'[2]1.1地产销售计划表'!B:B,"海沧中心璞盛项目（一期）",'[2]1.1地产销售计划表'!G:G,"车位",'[2]1.1地产销售计划表'!H:H,"面积（㎡）")/10000</f>
        <v>0</v>
      </c>
      <c r="AA16" s="55">
        <f>SUMIFS('[2]1.1地产销售计划表'!Z:Z,'[2]1.1地产销售计划表'!B:B,"海沧中心璞盛项目（二期）",'[2]1.1地产销售计划表'!G:G,"车位",'[2]1.1地产销售计划表'!H:H,"面积（㎡）")/10000</f>
        <v>0</v>
      </c>
      <c r="AB16" s="51">
        <f>SUM(AC16:AD16)</f>
        <v>1.46829055560337</v>
      </c>
      <c r="AC16" s="52">
        <f>+AC21*N61/10000</f>
        <v>1.19942197452229</v>
      </c>
      <c r="AD16" s="53">
        <f>+AD21*N67/10000</f>
        <v>0.268868581081081</v>
      </c>
      <c r="AE16" s="51">
        <f>SUM(AF16:AG16)</f>
        <v>0</v>
      </c>
      <c r="AF16" s="52">
        <f>SUMIFS('[2]1.1地产销售计划表'!AB:AB,'[2]1.1地产销售计划表'!B:B,"海沧中心璞盛项目（一期）",'[2]1.1地产销售计划表'!G:G,"车位",'[2]1.1地产销售计划表'!H:H,"面积（㎡）")/10000</f>
        <v>0</v>
      </c>
      <c r="AG16" s="53">
        <f>SUMIFS('[2]1.1地产销售计划表'!AB:AB,'[2]1.1地产销售计划表'!B:B,"海沧中心璞盛项目（二期）",'[2]1.1地产销售计划表'!G:G,"车位",'[2]1.1地产销售计划表'!H:H,"面积（㎡）")/10000</f>
        <v>0</v>
      </c>
    </row>
    <row r="17" ht="18.15" spans="1:33">
      <c r="A17" s="25" t="s">
        <v>28</v>
      </c>
      <c r="B17" s="25"/>
      <c r="C17" s="26" t="s">
        <v>22</v>
      </c>
      <c r="D17" s="58">
        <f t="shared" si="3"/>
        <v>1055</v>
      </c>
      <c r="E17" s="59">
        <f t="shared" si="4"/>
        <v>828</v>
      </c>
      <c r="F17" s="60">
        <f t="shared" si="5"/>
        <v>227</v>
      </c>
      <c r="G17" s="58">
        <f t="shared" si="6"/>
        <v>856</v>
      </c>
      <c r="H17" s="59">
        <f t="shared" ref="H17:AG17" si="8">SUM(H18:H19)</f>
        <v>648</v>
      </c>
      <c r="I17" s="60">
        <f t="shared" si="8"/>
        <v>208</v>
      </c>
      <c r="J17" s="61">
        <f t="shared" si="8"/>
        <v>0</v>
      </c>
      <c r="K17" s="62">
        <f t="shared" si="8"/>
        <v>0</v>
      </c>
      <c r="L17" s="63">
        <f t="shared" si="8"/>
        <v>0</v>
      </c>
      <c r="M17" s="64">
        <f t="shared" si="8"/>
        <v>0</v>
      </c>
      <c r="N17" s="62">
        <f t="shared" si="8"/>
        <v>0</v>
      </c>
      <c r="O17" s="65">
        <f t="shared" si="8"/>
        <v>0</v>
      </c>
      <c r="P17" s="61">
        <f t="shared" si="8"/>
        <v>133</v>
      </c>
      <c r="Q17" s="62">
        <f t="shared" si="8"/>
        <v>114</v>
      </c>
      <c r="R17" s="63">
        <f t="shared" si="8"/>
        <v>19</v>
      </c>
      <c r="S17" s="61">
        <f t="shared" si="8"/>
        <v>66</v>
      </c>
      <c r="T17" s="62">
        <f t="shared" si="8"/>
        <v>66</v>
      </c>
      <c r="U17" s="65">
        <f t="shared" si="8"/>
        <v>0</v>
      </c>
      <c r="V17" s="61">
        <f t="shared" si="8"/>
        <v>0</v>
      </c>
      <c r="W17" s="62">
        <f t="shared" si="8"/>
        <v>0</v>
      </c>
      <c r="X17" s="63">
        <f t="shared" si="8"/>
        <v>0</v>
      </c>
      <c r="Y17" s="61">
        <f t="shared" si="8"/>
        <v>0</v>
      </c>
      <c r="Z17" s="62">
        <f t="shared" si="8"/>
        <v>0</v>
      </c>
      <c r="AA17" s="65">
        <f t="shared" si="8"/>
        <v>0</v>
      </c>
      <c r="AB17" s="61">
        <f t="shared" si="8"/>
        <v>0</v>
      </c>
      <c r="AC17" s="62">
        <f t="shared" si="8"/>
        <v>0</v>
      </c>
      <c r="AD17" s="63">
        <f t="shared" si="8"/>
        <v>0</v>
      </c>
      <c r="AE17" s="61">
        <f t="shared" si="8"/>
        <v>0</v>
      </c>
      <c r="AF17" s="62">
        <f t="shared" si="8"/>
        <v>0</v>
      </c>
      <c r="AG17" s="63">
        <f t="shared" si="8"/>
        <v>0</v>
      </c>
    </row>
    <row r="18" ht="18.15" spans="1:33">
      <c r="A18" s="25"/>
      <c r="B18" s="25"/>
      <c r="C18" s="44" t="s">
        <v>23</v>
      </c>
      <c r="D18" s="66">
        <f t="shared" si="3"/>
        <v>887</v>
      </c>
      <c r="E18" s="67">
        <f t="shared" si="4"/>
        <v>660</v>
      </c>
      <c r="F18" s="68">
        <f t="shared" si="5"/>
        <v>227</v>
      </c>
      <c r="G18" s="66">
        <f t="shared" si="6"/>
        <v>856</v>
      </c>
      <c r="H18" s="67">
        <f>SUMIFS('[2]1.1地产销售计划表'!N:N,'[2]1.1地产销售计划表'!B:B,"海沧中心璞盛项目（一期）",'[2]1.1地产销售计划表'!G:G,"住宅-精装普宅",'[2]1.1地产销售计划表'!H:H,"套数（套）")+SUMIFS('[2]1.1地产销售计划表'!V:V,'[2]1.1地产销售计划表'!B:B,"海沧中心璞盛项目（一期）",'[2]1.1地产销售计划表'!G:G,"住宅-精装普宅",'[2]1.1地产销售计划表'!H:H,"套数（套）")</f>
        <v>648</v>
      </c>
      <c r="I18" s="68">
        <f>SUMIFS('[2]1.1地产销售计划表'!N:N,'[2]1.1地产销售计划表'!B:B,"海沧中心璞盛项目（二期）",'[2]1.1地产销售计划表'!G:G,"住宅-精装普宅",'[2]1.1地产销售计划表'!H:H,"套数（套）")+SUMIFS('[2]1.1地产销售计划表'!V:V,'[2]1.1地产销售计划表'!B:B,"海沧中心璞盛项目（二期）",'[2]1.1地产销售计划表'!G:G,"住宅-精装普宅",'[2]1.1地产销售计划表'!H:H,"套数（套）")</f>
        <v>208</v>
      </c>
      <c r="J18" s="69"/>
      <c r="K18" s="70"/>
      <c r="L18" s="71"/>
      <c r="M18" s="72"/>
      <c r="N18" s="70"/>
      <c r="O18" s="73"/>
      <c r="P18" s="69">
        <f>SUM(Q18:R18)</f>
        <v>31</v>
      </c>
      <c r="Q18" s="70">
        <f>SUMIFS('[2]1.1地产销售计划表'!W:W,'[2]1.1地产销售计划表'!B:B,"海沧中心璞盛项目（一期）",'[2]1.1地产销售计划表'!G:G,"住宅-精装普宅",'[2]1.1地产销售计划表'!H:H,"套数（套）")</f>
        <v>12</v>
      </c>
      <c r="R18" s="71">
        <f>SUMIFS('[2]1.1地产销售计划表'!W:W,'[2]1.1地产销售计划表'!B:B,"海沧中心璞盛项目（二期）",'[2]1.1地产销售计划表'!G:G,"住宅-精装普宅",'[2]1.1地产销售计划表'!H:H,"套数（套）")</f>
        <v>19</v>
      </c>
      <c r="S18" s="69">
        <f>SUM(T18:U18)</f>
        <v>0</v>
      </c>
      <c r="T18" s="70">
        <f>SUMIFS('[2]1.1地产销售计划表'!X:X,'[2]1.1地产销售计划表'!B:B,"海沧中心璞盛项目（一期）",'[2]1.1地产销售计划表'!G:G,"住宅-精装普宅",'[2]1.1地产销售计划表'!H:H,"套数（套）")</f>
        <v>0</v>
      </c>
      <c r="U18" s="73">
        <f>SUMIFS('[2]1.1地产销售计划表'!X:X,'[2]1.1地产销售计划表'!B:B,"海沧中心璞盛项目（二期）",'[2]1.1地产销售计划表'!G:G,"住宅-精装普宅",'[2]1.1地产销售计划表'!H:H,"套数（套）")</f>
        <v>0</v>
      </c>
      <c r="V18" s="69">
        <f>SUM(W18:X18)</f>
        <v>0</v>
      </c>
      <c r="W18" s="70">
        <f>SUMIFS('[2]1.1地产销售计划表'!Y:Y,'[2]1.1地产销售计划表'!B:B,"海沧中心璞盛项目（一期）",'[2]1.1地产销售计划表'!G:G,"住宅-精装普宅",'[2]1.1地产销售计划表'!H:H,"套数（套）")</f>
        <v>0</v>
      </c>
      <c r="X18" s="71">
        <f>SUMIFS('[2]1.1地产销售计划表'!Y:Y,'[2]1.1地产销售计划表'!B:B,"海沧中心璞盛项目（二期）",'[2]1.1地产销售计划表'!G:G,"住宅-精装普宅",'[2]1.1地产销售计划表'!H:H,"套数（套）")</f>
        <v>0</v>
      </c>
      <c r="Y18" s="69">
        <f>SUM(Z18:AA18)</f>
        <v>0</v>
      </c>
      <c r="Z18" s="70">
        <f>SUMIFS('[2]1.1地产销售计划表'!Z:Z,'[2]1.1地产销售计划表'!B:B,"海沧中心璞盛项目（一期）",'[2]1.1地产销售计划表'!G:G,"住宅-精装普宅",'[2]1.1地产销售计划表'!H:H,"套数（套）")</f>
        <v>0</v>
      </c>
      <c r="AA18" s="73">
        <f>SUMIFS('[2]1.1地产销售计划表'!Z:Z,'[2]1.1地产销售计划表'!B:B,"海沧中心璞盛项目（二期）",'[2]1.1地产销售计划表'!G:G,"住宅-精装普宅",'[2]1.1地产销售计划表'!H:H,"套数（套）")</f>
        <v>0</v>
      </c>
      <c r="AB18" s="69">
        <f>SUM(AC18:AD18)</f>
        <v>0</v>
      </c>
      <c r="AC18" s="70">
        <f>SUMIFS('[2]1.1地产销售计划表'!AA:AA,'[2]1.1地产销售计划表'!B:B,"海沧中心璞盛项目（一期）",'[2]1.1地产销售计划表'!G:G,"住宅-精装普宅",'[2]1.1地产销售计划表'!H:H,"套数（套）")</f>
        <v>0</v>
      </c>
      <c r="AD18" s="71">
        <f>SUMIFS('[2]1.1地产销售计划表'!AA:AA,'[2]1.1地产销售计划表'!B:B,"海沧中心璞盛项目（二期）",'[2]1.1地产销售计划表'!G:G,"住宅-精装普宅",'[2]1.1地产销售计划表'!H:H,"套数（套）")</f>
        <v>0</v>
      </c>
      <c r="AE18" s="69">
        <f>SUM(AF18:AG18)</f>
        <v>0</v>
      </c>
      <c r="AF18" s="70">
        <f>SUMIFS('[2]1.1地产销售计划表'!AB:AB,'[2]1.1地产销售计划表'!B:B,"海沧中心璞盛项目（一期）",'[2]1.1地产销售计划表'!G:G,"住宅-精装普宅",'[2]1.1地产销售计划表'!H:H,"套数（套）")</f>
        <v>0</v>
      </c>
      <c r="AG18" s="71">
        <f>SUMIFS('[2]1.1地产销售计划表'!AB:AB,'[2]1.1地产销售计划表'!B:B,"海沧中心璞盛项目（二期）",'[2]1.1地产销售计划表'!G:G,"住宅-精装普宅",'[2]1.1地产销售计划表'!H:H,"套数（套）")</f>
        <v>0</v>
      </c>
    </row>
    <row r="19" ht="18.15" spans="1:33">
      <c r="A19" s="25"/>
      <c r="B19" s="25"/>
      <c r="C19" s="44" t="s">
        <v>24</v>
      </c>
      <c r="D19" s="66">
        <f t="shared" si="3"/>
        <v>168</v>
      </c>
      <c r="E19" s="67">
        <f t="shared" si="4"/>
        <v>168</v>
      </c>
      <c r="F19" s="68">
        <f t="shared" si="5"/>
        <v>0</v>
      </c>
      <c r="G19" s="66">
        <f t="shared" si="6"/>
        <v>0</v>
      </c>
      <c r="H19" s="67">
        <f>SUMIFS('[2]1.1地产销售计划表'!N:N,'[2]1.1地产销售计划表'!B:B,"海沧中心璞盛项目（一期）",'[2]1.1地产销售计划表'!G:G,"住宅-精装非普宅",'[2]1.1地产销售计划表'!H:H,"套数（套）")+SUMIFS('[2]1.1地产销售计划表'!V:V,'[2]1.1地产销售计划表'!B:B,"海沧中心璞盛项目（一期）",'[2]1.1地产销售计划表'!G:G,"住宅-精装非普宅",'[2]1.1地产销售计划表'!H:H,"套数（套）")</f>
        <v>0</v>
      </c>
      <c r="I19" s="68">
        <f>SUMIFS('[2]1.1地产销售计划表'!N:N,'[2]1.1地产销售计划表'!B:B,"海沧中心璞盛项目（二期）",'[2]1.1地产销售计划表'!G:G,"住宅-精装非普宅",'[2]1.1地产销售计划表'!H:H,"套数（套）")+SUMIFS('[2]1.1地产销售计划表'!V:V,'[2]1.1地产销售计划表'!B:B,"海沧中心璞盛项目（二期）",'[2]1.1地产销售计划表'!G:G,"住宅-精装非普宅",'[2]1.1地产销售计划表'!H:H,"套数（套）")</f>
        <v>0</v>
      </c>
      <c r="J19" s="69"/>
      <c r="K19" s="70"/>
      <c r="L19" s="71"/>
      <c r="M19" s="72"/>
      <c r="N19" s="70"/>
      <c r="O19" s="73"/>
      <c r="P19" s="69">
        <f>SUM(Q19:R19)</f>
        <v>102</v>
      </c>
      <c r="Q19" s="70">
        <f>SUMIFS('[2]1.1地产销售计划表'!W:W,'[2]1.1地产销售计划表'!B:B,"海沧中心璞盛项目（一期）",'[2]1.1地产销售计划表'!G:G,"住宅-精装非普宅",'[2]1.1地产销售计划表'!H:H,"套数（套）")</f>
        <v>102</v>
      </c>
      <c r="R19" s="71">
        <f>SUMIFS('[2]1.1地产销售计划表'!W:W,'[2]1.1地产销售计划表'!B:B,"海沧中心璞盛项目（二期）",'[2]1.1地产销售计划表'!G:G,"住宅-精装非普宅",'[2]1.1地产销售计划表'!H:H,"套数（套）")</f>
        <v>0</v>
      </c>
      <c r="S19" s="69">
        <f>SUM(T19:U19)</f>
        <v>66</v>
      </c>
      <c r="T19" s="70">
        <f>SUMIFS('[2]1.1地产销售计划表'!X:X,'[2]1.1地产销售计划表'!B:B,"海沧中心璞盛项目（一期）",'[2]1.1地产销售计划表'!G:G,"住宅-精装非普宅",'[2]1.1地产销售计划表'!H:H,"套数（套）")</f>
        <v>66</v>
      </c>
      <c r="U19" s="73">
        <f>SUMIFS('[2]1.1地产销售计划表'!X:X,'[2]1.1地产销售计划表'!B:B,"海沧中心璞盛项目（二期）",'[2]1.1地产销售计划表'!G:G,"住宅-精装非普宅",'[2]1.1地产销售计划表'!H:H,"套数（套）")</f>
        <v>0</v>
      </c>
      <c r="V19" s="69">
        <f>SUM(W19:X19)</f>
        <v>0</v>
      </c>
      <c r="W19" s="70">
        <f>SUMIFS('[2]1.1地产销售计划表'!Y:Y,'[2]1.1地产销售计划表'!B:B,"海沧中心璞盛项目（一期）",'[2]1.1地产销售计划表'!G:G,"住宅-精装非普宅",'[2]1.1地产销售计划表'!H:H,"套数（套）")</f>
        <v>0</v>
      </c>
      <c r="X19" s="71">
        <f>SUMIFS('[2]1.1地产销售计划表'!Y:Y,'[2]1.1地产销售计划表'!B:B,"海沧中心璞盛项目（二期）",'[2]1.1地产销售计划表'!G:G,"住宅-精装非普宅",'[2]1.1地产销售计划表'!H:H,"套数（套）")</f>
        <v>0</v>
      </c>
      <c r="Y19" s="69">
        <f>SUM(Z19:AA19)</f>
        <v>0</v>
      </c>
      <c r="Z19" s="70">
        <f>SUMIFS('[2]1.1地产销售计划表'!Z:Z,'[2]1.1地产销售计划表'!B:B,"海沧中心璞盛项目（一期）",'[2]1.1地产销售计划表'!G:G,"住宅-精装非普宅",'[2]1.1地产销售计划表'!H:H,"套数（套）")</f>
        <v>0</v>
      </c>
      <c r="AA19" s="73">
        <f>SUMIFS('[2]1.1地产销售计划表'!Z:Z,'[2]1.1地产销售计划表'!B:B,"海沧中心璞盛项目（二期）",'[2]1.1地产销售计划表'!G:G,"住宅-精装非普宅",'[2]1.1地产销售计划表'!H:H,"套数（套）")</f>
        <v>0</v>
      </c>
      <c r="AB19" s="69">
        <f>SUM(AC19:AD19)</f>
        <v>0</v>
      </c>
      <c r="AC19" s="70">
        <f>SUMIFS('[2]1.1地产销售计划表'!AA:AA,'[2]1.1地产销售计划表'!B:B,"海沧中心璞盛项目（一期）",'[2]1.1地产销售计划表'!G:G,"住宅-精装非普宅",'[2]1.1地产销售计划表'!H:H,"套数（套）")</f>
        <v>0</v>
      </c>
      <c r="AD19" s="71">
        <f>SUMIFS('[2]1.1地产销售计划表'!AA:AA,'[2]1.1地产销售计划表'!B:B,"海沧中心璞盛项目（二期）",'[2]1.1地产销售计划表'!G:G,"住宅-精装非普宅",'[2]1.1地产销售计划表'!H:H,"套数（套）")</f>
        <v>0</v>
      </c>
      <c r="AE19" s="69">
        <f>SUM(AF19:AG19)</f>
        <v>0</v>
      </c>
      <c r="AF19" s="70">
        <f>SUMIFS('[2]1.1地产销售计划表'!AB:AB,'[2]1.1地产销售计划表'!B:B,"海沧中心璞盛项目（一期）",'[2]1.1地产销售计划表'!G:G,"住宅-精装非普宅",'[2]1.1地产销售计划表'!H:H,"套数（套）")</f>
        <v>0</v>
      </c>
      <c r="AG19" s="71">
        <f>SUMIFS('[2]1.1地产销售计划表'!AB:AB,'[2]1.1地产销售计划表'!B:B,"海沧中心璞盛项目（二期）",'[2]1.1地产销售计划表'!G:G,"住宅-精装非普宅",'[2]1.1地产销售计划表'!H:H,"套数（套）")</f>
        <v>0</v>
      </c>
    </row>
    <row r="20" ht="18.15" spans="1:33">
      <c r="A20" s="25"/>
      <c r="B20" s="25"/>
      <c r="C20" s="35" t="s">
        <v>25</v>
      </c>
      <c r="D20" s="66">
        <f t="shared" si="3"/>
        <v>51</v>
      </c>
      <c r="E20" s="67">
        <f t="shared" si="4"/>
        <v>44</v>
      </c>
      <c r="F20" s="68">
        <f t="shared" si="5"/>
        <v>7</v>
      </c>
      <c r="G20" s="66">
        <f t="shared" si="6"/>
        <v>0</v>
      </c>
      <c r="H20" s="67">
        <f>SUMIFS('[2]1.1地产销售计划表'!N:N,'[2]1.1地产销售计划表'!B:B,"海沧中心璞盛项目（一期）",'[2]1.1地产销售计划表'!G:G,"商业",'[2]1.1地产销售计划表'!H:H,"套数（套）")+SUMIFS('[2]1.1地产销售计划表'!V:V,'[2]1.1地产销售计划表'!B:B,"海沧中心璞盛项目（一期）",'[2]1.1地产销售计划表'!G:G,"商业",'[2]1.1地产销售计划表'!H:H,"套数（套）")</f>
        <v>0</v>
      </c>
      <c r="I20" s="68">
        <f>SUMIFS('[2]1.1地产销售计划表'!N:N,'[2]1.1地产销售计划表'!B:B,"海沧中心璞盛项目（二期）",'[2]1.1地产销售计划表'!G:G,"商业",'[2]1.1地产销售计划表'!H:H,"套数（套）")+SUMIFS('[2]1.1地产销售计划表'!V:V,'[2]1.1地产销售计划表'!B:B,"海沧中心璞盛项目（二期）",'[2]1.1地产销售计划表'!G:G,"商业",'[2]1.1地产销售计划表'!H:H,"套数（套）")</f>
        <v>0</v>
      </c>
      <c r="J20" s="69"/>
      <c r="K20" s="70"/>
      <c r="L20" s="71"/>
      <c r="M20" s="72"/>
      <c r="N20" s="70"/>
      <c r="O20" s="73"/>
      <c r="P20" s="69">
        <f>SUM(Q20:R20)</f>
        <v>0</v>
      </c>
      <c r="Q20" s="70">
        <f>SUMIFS('[2]1.1地产销售计划表'!W:W,'[2]1.1地产销售计划表'!B:B,"海沧中心璞盛项目（一期）",'[2]1.1地产销售计划表'!G:G,"商业",'[2]1.1地产销售计划表'!H:H,"套数（套）")</f>
        <v>0</v>
      </c>
      <c r="R20" s="71">
        <f>SUMIFS('[2]1.1地产销售计划表'!W:W,'[2]1.1地产销售计划表'!B:B,"海沧中心璞盛项目（二期）",'[2]1.1地产销售计划表'!G:G,"商业",'[2]1.1地产销售计划表'!H:H,"套数（套）")</f>
        <v>0</v>
      </c>
      <c r="S20" s="69">
        <f>SUM(T20:U20)</f>
        <v>0</v>
      </c>
      <c r="T20" s="70">
        <f>SUMIFS('[2]1.1地产销售计划表'!X:X,'[2]1.1地产销售计划表'!B:B,"海沧中心璞盛项目（一期）",'[2]1.1地产销售计划表'!G:G,"商业",'[2]1.1地产销售计划表'!H:H,"套数（套）")</f>
        <v>0</v>
      </c>
      <c r="U20" s="73">
        <f>SUMIFS('[2]1.1地产销售计划表'!X:X,'[2]1.1地产销售计划表'!B:B,"海沧中心璞盛项目（二期）",'[2]1.1地产销售计划表'!G:G,"商业",'[2]1.1地产销售计划表'!H:H,"套数（套）")</f>
        <v>0</v>
      </c>
      <c r="V20" s="69">
        <f>SUM(W20:X20)</f>
        <v>0</v>
      </c>
      <c r="W20" s="70">
        <f>SUMIFS('[2]1.1地产销售计划表'!Y:Y,'[2]1.1地产销售计划表'!B:B,"海沧中心璞盛项目（一期）",'[2]1.1地产销售计划表'!G:G,"商业",'[2]1.1地产销售计划表'!H:H,"套数（套）")</f>
        <v>0</v>
      </c>
      <c r="X20" s="71">
        <f>SUMIFS('[2]1.1地产销售计划表'!Y:Y,'[2]1.1地产销售计划表'!B:B,"海沧中心璞盛项目（二期）",'[2]1.1地产销售计划表'!G:G,"商业",'[2]1.1地产销售计划表'!H:H,"套数（套）")</f>
        <v>0</v>
      </c>
      <c r="Y20" s="69">
        <f>SUM(Z20:AA20)</f>
        <v>0</v>
      </c>
      <c r="Z20" s="70">
        <f>SUMIFS('[2]1.1地产销售计划表'!Z:Z,'[2]1.1地产销售计划表'!B:B,"海沧中心璞盛项目（一期）",'[2]1.1地产销售计划表'!G:G,"商业",'[2]1.1地产销售计划表'!H:H,"套数（套）")</f>
        <v>0</v>
      </c>
      <c r="AA20" s="73">
        <f>SUMIFS('[2]1.1地产销售计划表'!Z:Z,'[2]1.1地产销售计划表'!B:B,"海沧中心璞盛项目（二期）",'[2]1.1地产销售计划表'!G:G,"商业",'[2]1.1地产销售计划表'!H:H,"套数（套）")</f>
        <v>0</v>
      </c>
      <c r="AB20" s="69">
        <f>SUM(AC20:AD20)</f>
        <v>51</v>
      </c>
      <c r="AC20" s="70">
        <f>SUMIFS('[2]1.1地产销售计划表'!AA:AA,'[2]1.1地产销售计划表'!B:B,"海沧中心璞盛项目（一期）",'[2]1.1地产销售计划表'!G:G,"商业",'[2]1.1地产销售计划表'!H:H,"套数（套）")</f>
        <v>44</v>
      </c>
      <c r="AD20" s="71">
        <f>SUMIFS('[2]1.1地产销售计划表'!AA:AA,'[2]1.1地产销售计划表'!B:B,"海沧中心璞盛项目（二期）",'[2]1.1地产销售计划表'!G:G,"商业",'[2]1.1地产销售计划表'!H:H,"套数（套）")</f>
        <v>7</v>
      </c>
      <c r="AE20" s="69">
        <f>SUM(AF20:AG20)</f>
        <v>0</v>
      </c>
      <c r="AF20" s="70">
        <f>SUMIFS('[2]1.1地产销售计划表'!AB:AB,'[2]1.1地产销售计划表'!B:B,"海沧中心璞盛项目（一期）",'[2]1.1地产销售计划表'!G:G,"商业",'[2]1.1地产销售计划表'!H:H,"套数（套）")</f>
        <v>0</v>
      </c>
      <c r="AG20" s="71">
        <f>SUMIFS('[2]1.1地产销售计划表'!AB:AB,'[2]1.1地产销售计划表'!B:B,"海沧中心璞盛项目（二期）",'[2]1.1地产销售计划表'!G:G,"商业",'[2]1.1地产销售计划表'!H:H,"套数（套）")</f>
        <v>0</v>
      </c>
    </row>
    <row r="21" ht="18.15" spans="1:33">
      <c r="A21" s="25"/>
      <c r="B21" s="25"/>
      <c r="C21" s="47" t="s">
        <v>26</v>
      </c>
      <c r="D21" s="74">
        <f t="shared" si="3"/>
        <v>1090</v>
      </c>
      <c r="E21" s="75">
        <f t="shared" si="4"/>
        <v>942</v>
      </c>
      <c r="F21" s="76">
        <f t="shared" si="5"/>
        <v>148</v>
      </c>
      <c r="G21" s="74">
        <f t="shared" si="6"/>
        <v>110</v>
      </c>
      <c r="H21" s="75">
        <f>SUMIFS('[2]1.1地产销售计划表'!N:N,'[2]1.1地产销售计划表'!B:B,"海沧中心璞盛项目（一期）",'[2]1.1地产销售计划表'!G:G,"车位",'[2]1.1地产销售计划表'!H:H,"套数（套）")+SUMIFS('[2]1.1地产销售计划表'!V:V,'[2]1.1地产销售计划表'!B:B,"海沧中心璞盛项目（一期）",'[2]1.1地产销售计划表'!G:G,"车位",'[2]1.1地产销售计划表'!H:H,"套数（套）")</f>
        <v>84</v>
      </c>
      <c r="I21" s="76">
        <f>SUMIFS('[2]1.1地产销售计划表'!N:N,'[2]1.1地产销售计划表'!B:B,"海沧中心璞盛项目（二期）",'[2]1.1地产销售计划表'!G:G,"车位",'[2]1.1地产销售计划表'!H:H,"套数（套）")+SUMIFS('[2]1.1地产销售计划表'!V:V,'[2]1.1地产销售计划表'!B:B,"海沧中心璞盛项目（二期）",'[2]1.1地产销售计划表'!G:G,"车位",'[2]1.1地产销售计划表'!H:H,"套数（套）")</f>
        <v>26</v>
      </c>
      <c r="J21" s="77"/>
      <c r="K21" s="78"/>
      <c r="L21" s="79"/>
      <c r="M21" s="80"/>
      <c r="N21" s="78"/>
      <c r="O21" s="81"/>
      <c r="P21" s="77">
        <f>SUM(Q21:R21)</f>
        <v>38</v>
      </c>
      <c r="Q21" s="78">
        <f>SUMIFS('[2]1.1地产销售计划表'!W:W,'[2]1.1地产销售计划表'!B:B,"海沧中心璞盛项目（一期）",'[2]1.1地产销售计划表'!G:G,"车位",'[2]1.1地产销售计划表'!H:H,"套数（套）")</f>
        <v>38</v>
      </c>
      <c r="R21" s="79">
        <f>SUMIFS('[2]1.1地产销售计划表'!W:W,'[2]1.1地产销售计划表'!B:B,"海沧中心璞盛项目（二期）",'[2]1.1地产销售计划表'!G:G,"车位",'[2]1.1地产销售计划表'!H:H,"套数（套）")</f>
        <v>0</v>
      </c>
      <c r="S21" s="77">
        <f>SUM(T21:U21)</f>
        <v>230</v>
      </c>
      <c r="T21" s="78">
        <f>SUMIFS('[2]1.1地产销售计划表'!X:X,'[2]1.1地产销售计划表'!B:B,"海沧中心璞盛项目（一期）",'[2]1.1地产销售计划表'!G:G,"车位",'[2]1.1地产销售计划表'!H:H,"套数（套）")</f>
        <v>167</v>
      </c>
      <c r="U21" s="81">
        <f>SUMIFS('[2]1.1地产销售计划表'!X:X,'[2]1.1地产销售计划表'!B:B,"海沧中心璞盛项目（二期）",'[2]1.1地产销售计划表'!G:G,"车位",'[2]1.1地产销售计划表'!H:H,"套数（套）")</f>
        <v>63</v>
      </c>
      <c r="V21" s="77">
        <f>SUM(W21:X21)</f>
        <v>272</v>
      </c>
      <c r="W21" s="78">
        <f>SUMIFS('[2]1.1地产销售计划表'!Y:Y,'[2]1.1地产销售计划表'!B:B,"海沧中心璞盛项目（一期）",'[2]1.1地产销售计划表'!G:G,"车位",'[2]1.1地产销售计划表'!H:H,"套数（套）")</f>
        <v>272</v>
      </c>
      <c r="X21" s="79">
        <f>SUMIFS('[2]1.1地产销售计划表'!Y:Y,'[2]1.1地产销售计划表'!B:B,"海沧中心璞盛项目（二期）",'[2]1.1地产销售计划表'!G:G,"车位",'[2]1.1地产销售计划表'!H:H,"套数（套）")</f>
        <v>0</v>
      </c>
      <c r="Y21" s="77">
        <f>SUM(Z21:AA21)</f>
        <v>0</v>
      </c>
      <c r="Z21" s="78">
        <f>SUMIFS('[2]1.1地产销售计划表'!Z:Z,'[2]1.1地产销售计划表'!B:B,"海沧中心璞盛项目（一期）",'[2]1.1地产销售计划表'!G:G,"车位",'[2]1.1地产销售计划表'!H:H,"套数（套）")</f>
        <v>0</v>
      </c>
      <c r="AA21" s="81">
        <f>SUMIFS('[2]1.1地产销售计划表'!Z:Z,'[2]1.1地产销售计划表'!B:B,"海沧中心璞盛项目（二期）",'[2]1.1地产销售计划表'!G:G,"车位",'[2]1.1地产销售计划表'!H:H,"套数（套）")</f>
        <v>0</v>
      </c>
      <c r="AB21" s="77">
        <f>SUM(AC21:AD21)</f>
        <v>440</v>
      </c>
      <c r="AC21" s="82">
        <v>381</v>
      </c>
      <c r="AD21" s="83">
        <v>59</v>
      </c>
      <c r="AE21" s="77">
        <f>SUM(AF21:AG21)</f>
        <v>0</v>
      </c>
      <c r="AF21" s="78">
        <f>SUMIFS('[2]1.1地产销售计划表'!AB:AB,'[2]1.1地产销售计划表'!B:B,"海沧中心璞盛项目（一期）",'[2]1.1地产销售计划表'!G:G,"车位",'[2]1.1地产销售计划表'!H:H,"套数（套）")</f>
        <v>0</v>
      </c>
      <c r="AG21" s="79">
        <f>SUMIFS('[2]1.1地产销售计划表'!AB:AB,'[2]1.1地产销售计划表'!B:B,"海沧中心璞盛项目（二期）",'[2]1.1地产销售计划表'!G:G,"车位",'[2]1.1地产销售计划表'!H:H,"套数（套）")</f>
        <v>0</v>
      </c>
    </row>
    <row r="22" ht="18.15" spans="1:33">
      <c r="A22" s="84" t="s">
        <v>29</v>
      </c>
      <c r="B22" s="84"/>
      <c r="C22" s="85" t="s">
        <v>22</v>
      </c>
      <c r="D22" s="86">
        <f t="shared" ref="D22:AG22" si="9">IFERROR(+D7/D12,0)</f>
        <v>3.29336279604177</v>
      </c>
      <c r="E22" s="87">
        <f t="shared" si="9"/>
        <v>3.25953042787016</v>
      </c>
      <c r="F22" s="88">
        <f t="shared" si="9"/>
        <v>3.42988765366177</v>
      </c>
      <c r="G22" s="86">
        <f t="shared" si="9"/>
        <v>3.35003152669031</v>
      </c>
      <c r="H22" s="87">
        <f t="shared" si="9"/>
        <v>3.3195124151678</v>
      </c>
      <c r="I22" s="88">
        <f t="shared" si="9"/>
        <v>3.4442506228192</v>
      </c>
      <c r="J22" s="89">
        <f t="shared" si="9"/>
        <v>0</v>
      </c>
      <c r="K22" s="90">
        <f t="shared" si="9"/>
        <v>0</v>
      </c>
      <c r="L22" s="91">
        <f t="shared" si="9"/>
        <v>0</v>
      </c>
      <c r="M22" s="92">
        <f t="shared" si="9"/>
        <v>0</v>
      </c>
      <c r="N22" s="90">
        <f t="shared" si="9"/>
        <v>0</v>
      </c>
      <c r="O22" s="93">
        <f t="shared" si="9"/>
        <v>0</v>
      </c>
      <c r="P22" s="89">
        <f t="shared" si="9"/>
        <v>3.08887640543296</v>
      </c>
      <c r="Q22" s="90">
        <f t="shared" si="9"/>
        <v>3.05974018026747</v>
      </c>
      <c r="R22" s="91">
        <f t="shared" si="9"/>
        <v>3.30880738723807</v>
      </c>
      <c r="S22" s="92">
        <f t="shared" si="9"/>
        <v>3.24770791737464</v>
      </c>
      <c r="T22" s="90">
        <f t="shared" si="9"/>
        <v>3.24770791737464</v>
      </c>
      <c r="U22" s="93">
        <f t="shared" si="9"/>
        <v>0</v>
      </c>
      <c r="V22" s="89">
        <f t="shared" si="9"/>
        <v>0</v>
      </c>
      <c r="W22" s="90">
        <f t="shared" si="9"/>
        <v>0</v>
      </c>
      <c r="X22" s="91">
        <f t="shared" si="9"/>
        <v>0</v>
      </c>
      <c r="Y22" s="92">
        <f t="shared" si="9"/>
        <v>0</v>
      </c>
      <c r="Z22" s="90">
        <f t="shared" si="9"/>
        <v>0</v>
      </c>
      <c r="AA22" s="93">
        <f t="shared" si="9"/>
        <v>0</v>
      </c>
      <c r="AB22" s="89">
        <f t="shared" si="9"/>
        <v>0</v>
      </c>
      <c r="AC22" s="90">
        <f t="shared" si="9"/>
        <v>0</v>
      </c>
      <c r="AD22" s="91">
        <f t="shared" si="9"/>
        <v>0</v>
      </c>
      <c r="AE22" s="89">
        <f t="shared" si="9"/>
        <v>0</v>
      </c>
      <c r="AF22" s="90">
        <f t="shared" si="9"/>
        <v>0</v>
      </c>
      <c r="AG22" s="91">
        <f t="shared" si="9"/>
        <v>0</v>
      </c>
    </row>
    <row r="23" ht="18.15" spans="1:33">
      <c r="A23" s="84"/>
      <c r="B23" s="84"/>
      <c r="C23" s="44" t="s">
        <v>23</v>
      </c>
      <c r="D23" s="36">
        <f t="shared" ref="D23:AG23" si="10">IFERROR(+D8/D13,0)</f>
        <v>3.35084745802649</v>
      </c>
      <c r="E23" s="37">
        <f t="shared" si="10"/>
        <v>3.32287998820175</v>
      </c>
      <c r="F23" s="38">
        <f t="shared" si="10"/>
        <v>3.42988765366177</v>
      </c>
      <c r="G23" s="36">
        <f t="shared" si="10"/>
        <v>3.35003152669031</v>
      </c>
      <c r="H23" s="37">
        <f t="shared" si="10"/>
        <v>3.3195124151678</v>
      </c>
      <c r="I23" s="38">
        <f t="shared" si="10"/>
        <v>3.4442506228192</v>
      </c>
      <c r="J23" s="45">
        <f t="shared" si="10"/>
        <v>0</v>
      </c>
      <c r="K23" s="94">
        <f t="shared" si="10"/>
        <v>0</v>
      </c>
      <c r="L23" s="95">
        <f t="shared" si="10"/>
        <v>0</v>
      </c>
      <c r="M23" s="46">
        <f t="shared" si="10"/>
        <v>0</v>
      </c>
      <c r="N23" s="94">
        <f t="shared" si="10"/>
        <v>0</v>
      </c>
      <c r="O23" s="96">
        <f t="shared" si="10"/>
        <v>0</v>
      </c>
      <c r="P23" s="45">
        <f t="shared" si="10"/>
        <v>3.36814437428833</v>
      </c>
      <c r="Q23" s="94">
        <f t="shared" si="10"/>
        <v>3.46303337746509</v>
      </c>
      <c r="R23" s="95">
        <f t="shared" si="10"/>
        <v>3.30880738723807</v>
      </c>
      <c r="S23" s="46">
        <f t="shared" si="10"/>
        <v>0</v>
      </c>
      <c r="T23" s="94">
        <f t="shared" si="10"/>
        <v>0</v>
      </c>
      <c r="U23" s="96">
        <f t="shared" si="10"/>
        <v>0</v>
      </c>
      <c r="V23" s="45">
        <f t="shared" si="10"/>
        <v>0</v>
      </c>
      <c r="W23" s="94">
        <f t="shared" si="10"/>
        <v>0</v>
      </c>
      <c r="X23" s="95">
        <f t="shared" si="10"/>
        <v>0</v>
      </c>
      <c r="Y23" s="46">
        <f t="shared" si="10"/>
        <v>0</v>
      </c>
      <c r="Z23" s="94">
        <f t="shared" si="10"/>
        <v>0</v>
      </c>
      <c r="AA23" s="96">
        <f t="shared" si="10"/>
        <v>0</v>
      </c>
      <c r="AB23" s="45">
        <f t="shared" si="10"/>
        <v>0</v>
      </c>
      <c r="AC23" s="94">
        <f t="shared" si="10"/>
        <v>0</v>
      </c>
      <c r="AD23" s="95">
        <f t="shared" si="10"/>
        <v>0</v>
      </c>
      <c r="AE23" s="45">
        <f t="shared" si="10"/>
        <v>0</v>
      </c>
      <c r="AF23" s="94">
        <f t="shared" si="10"/>
        <v>0</v>
      </c>
      <c r="AG23" s="95">
        <f t="shared" si="10"/>
        <v>0</v>
      </c>
    </row>
    <row r="24" ht="18.15" spans="1:33">
      <c r="A24" s="84"/>
      <c r="B24" s="84"/>
      <c r="C24" s="44" t="s">
        <v>24</v>
      </c>
      <c r="D24" s="36">
        <f t="shared" ref="D24:AG24" si="11">IFERROR(+D9/D14,0)</f>
        <v>3.11146772884045</v>
      </c>
      <c r="E24" s="37">
        <f t="shared" si="11"/>
        <v>3.11146772884045</v>
      </c>
      <c r="F24" s="38">
        <f t="shared" si="11"/>
        <v>0</v>
      </c>
      <c r="G24" s="36">
        <f t="shared" si="11"/>
        <v>0</v>
      </c>
      <c r="H24" s="37">
        <f t="shared" si="11"/>
        <v>0</v>
      </c>
      <c r="I24" s="38">
        <f t="shared" si="11"/>
        <v>0</v>
      </c>
      <c r="J24" s="45">
        <f t="shared" si="11"/>
        <v>0</v>
      </c>
      <c r="K24" s="94">
        <f t="shared" si="11"/>
        <v>0</v>
      </c>
      <c r="L24" s="95">
        <f t="shared" si="11"/>
        <v>0</v>
      </c>
      <c r="M24" s="46">
        <f t="shared" si="11"/>
        <v>0</v>
      </c>
      <c r="N24" s="94">
        <f t="shared" si="11"/>
        <v>0</v>
      </c>
      <c r="O24" s="96">
        <f t="shared" si="11"/>
        <v>0</v>
      </c>
      <c r="P24" s="45">
        <f t="shared" si="11"/>
        <v>3.02331231273009</v>
      </c>
      <c r="Q24" s="94">
        <f t="shared" si="11"/>
        <v>3.02331231273009</v>
      </c>
      <c r="R24" s="95">
        <f t="shared" si="11"/>
        <v>0</v>
      </c>
      <c r="S24" s="46">
        <f t="shared" si="11"/>
        <v>3.24770791737464</v>
      </c>
      <c r="T24" s="94">
        <f t="shared" si="11"/>
        <v>3.24770791737464</v>
      </c>
      <c r="U24" s="96">
        <f t="shared" si="11"/>
        <v>0</v>
      </c>
      <c r="V24" s="45">
        <f t="shared" si="11"/>
        <v>0</v>
      </c>
      <c r="W24" s="94">
        <f t="shared" si="11"/>
        <v>0</v>
      </c>
      <c r="X24" s="95">
        <f t="shared" si="11"/>
        <v>0</v>
      </c>
      <c r="Y24" s="46">
        <f t="shared" si="11"/>
        <v>0</v>
      </c>
      <c r="Z24" s="94">
        <f t="shared" si="11"/>
        <v>0</v>
      </c>
      <c r="AA24" s="96">
        <f t="shared" si="11"/>
        <v>0</v>
      </c>
      <c r="AB24" s="45">
        <f t="shared" si="11"/>
        <v>0</v>
      </c>
      <c r="AC24" s="94">
        <f t="shared" si="11"/>
        <v>0</v>
      </c>
      <c r="AD24" s="95">
        <f t="shared" si="11"/>
        <v>0</v>
      </c>
      <c r="AE24" s="45">
        <f t="shared" si="11"/>
        <v>0</v>
      </c>
      <c r="AF24" s="94">
        <f t="shared" si="11"/>
        <v>0</v>
      </c>
      <c r="AG24" s="95">
        <f t="shared" si="11"/>
        <v>0</v>
      </c>
    </row>
    <row r="25" ht="18.15" spans="1:33">
      <c r="A25" s="84"/>
      <c r="B25" s="84"/>
      <c r="C25" s="35" t="s">
        <v>25</v>
      </c>
      <c r="D25" s="36">
        <f t="shared" ref="D25:AG25" si="12">IFERROR(+D10/D15,0)</f>
        <v>3</v>
      </c>
      <c r="E25" s="37">
        <f t="shared" si="12"/>
        <v>3</v>
      </c>
      <c r="F25" s="38">
        <f t="shared" si="12"/>
        <v>3</v>
      </c>
      <c r="G25" s="36">
        <f t="shared" si="12"/>
        <v>0</v>
      </c>
      <c r="H25" s="37">
        <f t="shared" si="12"/>
        <v>0</v>
      </c>
      <c r="I25" s="38">
        <f t="shared" si="12"/>
        <v>0</v>
      </c>
      <c r="J25" s="45">
        <f t="shared" si="12"/>
        <v>0</v>
      </c>
      <c r="K25" s="94">
        <f t="shared" si="12"/>
        <v>0</v>
      </c>
      <c r="L25" s="95">
        <f t="shared" si="12"/>
        <v>0</v>
      </c>
      <c r="M25" s="46">
        <f t="shared" si="12"/>
        <v>0</v>
      </c>
      <c r="N25" s="94">
        <f t="shared" si="12"/>
        <v>0</v>
      </c>
      <c r="O25" s="96">
        <f t="shared" si="12"/>
        <v>0</v>
      </c>
      <c r="P25" s="45">
        <f t="shared" si="12"/>
        <v>0</v>
      </c>
      <c r="Q25" s="94">
        <f t="shared" si="12"/>
        <v>0</v>
      </c>
      <c r="R25" s="95">
        <f t="shared" si="12"/>
        <v>0</v>
      </c>
      <c r="S25" s="46">
        <f t="shared" si="12"/>
        <v>0</v>
      </c>
      <c r="T25" s="94">
        <f t="shared" si="12"/>
        <v>0</v>
      </c>
      <c r="U25" s="96">
        <f t="shared" si="12"/>
        <v>0</v>
      </c>
      <c r="V25" s="45">
        <f t="shared" si="12"/>
        <v>0</v>
      </c>
      <c r="W25" s="94">
        <f t="shared" si="12"/>
        <v>0</v>
      </c>
      <c r="X25" s="95">
        <f t="shared" si="12"/>
        <v>0</v>
      </c>
      <c r="Y25" s="46">
        <f t="shared" si="12"/>
        <v>0</v>
      </c>
      <c r="Z25" s="94">
        <f t="shared" si="12"/>
        <v>0</v>
      </c>
      <c r="AA25" s="96">
        <f t="shared" si="12"/>
        <v>0</v>
      </c>
      <c r="AB25" s="45">
        <f t="shared" si="12"/>
        <v>3</v>
      </c>
      <c r="AC25" s="94">
        <f t="shared" si="12"/>
        <v>3</v>
      </c>
      <c r="AD25" s="95">
        <f t="shared" si="12"/>
        <v>3</v>
      </c>
      <c r="AE25" s="45">
        <f t="shared" si="12"/>
        <v>0</v>
      </c>
      <c r="AF25" s="94">
        <f t="shared" si="12"/>
        <v>0</v>
      </c>
      <c r="AG25" s="95">
        <f t="shared" si="12"/>
        <v>0</v>
      </c>
    </row>
    <row r="26" ht="18.15" spans="1:33">
      <c r="A26" s="84"/>
      <c r="B26" s="84"/>
      <c r="C26" s="47" t="s">
        <v>30</v>
      </c>
      <c r="D26" s="48">
        <f t="shared" ref="D26:AB26" si="13">IFERROR(+D11/D21,0)*10000</f>
        <v>16.0642201834862</v>
      </c>
      <c r="E26" s="49">
        <f t="shared" si="13"/>
        <v>15.8513800424628</v>
      </c>
      <c r="F26" s="50">
        <f t="shared" si="13"/>
        <v>17.4189189189189</v>
      </c>
      <c r="G26" s="48">
        <f t="shared" si="13"/>
        <v>25.8272727272727</v>
      </c>
      <c r="H26" s="49">
        <f t="shared" si="13"/>
        <v>25.75</v>
      </c>
      <c r="I26" s="50">
        <f t="shared" si="13"/>
        <v>26.0769230769231</v>
      </c>
      <c r="J26" s="51">
        <f t="shared" si="13"/>
        <v>0</v>
      </c>
      <c r="K26" s="97">
        <f t="shared" si="13"/>
        <v>0</v>
      </c>
      <c r="L26" s="98">
        <f t="shared" si="13"/>
        <v>0</v>
      </c>
      <c r="M26" s="54">
        <f t="shared" si="13"/>
        <v>0</v>
      </c>
      <c r="N26" s="97">
        <f t="shared" si="13"/>
        <v>0</v>
      </c>
      <c r="O26" s="99">
        <f t="shared" si="13"/>
        <v>0</v>
      </c>
      <c r="P26" s="51">
        <f t="shared" si="13"/>
        <v>16</v>
      </c>
      <c r="Q26" s="97">
        <f t="shared" si="13"/>
        <v>16</v>
      </c>
      <c r="R26" s="98">
        <f t="shared" si="13"/>
        <v>0</v>
      </c>
      <c r="S26" s="54">
        <f t="shared" si="13"/>
        <v>17.0299565217391</v>
      </c>
      <c r="T26" s="97">
        <f t="shared" si="13"/>
        <v>16.67</v>
      </c>
      <c r="U26" s="99">
        <f t="shared" si="13"/>
        <v>17.984126984127</v>
      </c>
      <c r="V26" s="51">
        <f t="shared" si="13"/>
        <v>16.2651102941176</v>
      </c>
      <c r="W26" s="97">
        <f t="shared" si="13"/>
        <v>16.2651102941176</v>
      </c>
      <c r="X26" s="98">
        <f t="shared" si="13"/>
        <v>0</v>
      </c>
      <c r="Y26" s="54">
        <f t="shared" si="13"/>
        <v>0</v>
      </c>
      <c r="Z26" s="97">
        <f t="shared" si="13"/>
        <v>0</v>
      </c>
      <c r="AA26" s="99">
        <f t="shared" si="13"/>
        <v>0</v>
      </c>
      <c r="AB26" s="51">
        <f t="shared" si="13"/>
        <v>13</v>
      </c>
      <c r="AC26" s="100">
        <v>13</v>
      </c>
      <c r="AD26" s="101">
        <f>+AC26</f>
        <v>13</v>
      </c>
      <c r="AE26" s="51">
        <f>IFERROR(+AE11/AE21,0)*10000</f>
        <v>0</v>
      </c>
      <c r="AF26" s="97">
        <f>IFERROR(+AF11/AF21,0)*10000</f>
        <v>0</v>
      </c>
      <c r="AG26" s="98">
        <f>IFERROR(+AG11/AG21,0)*10000</f>
        <v>0</v>
      </c>
    </row>
    <row r="28" ht="23.4" spans="1:33">
      <c r="A28" s="12" t="s">
        <v>31</v>
      </c>
    </row>
    <row r="29" ht="22.2" spans="1:33">
      <c r="A29" s="102" t="s">
        <v>32</v>
      </c>
      <c r="C29" s="103">
        <f>'[3]06-项目成本支付计划'!$D$58+'[3]06-项目成本支付计划'!$D$83-[1]动态成本!F10</f>
        <v>4010</v>
      </c>
    </row>
    <row r="31" ht="23.4" spans="1:33">
      <c r="A31" s="12" t="s">
        <v>33</v>
      </c>
      <c r="B31" s="104"/>
      <c r="C31" s="105"/>
      <c r="D31" s="104"/>
      <c r="E31" s="104"/>
      <c r="F31" s="104"/>
      <c r="G31" s="104"/>
      <c r="H31" s="104"/>
      <c r="I31" s="104"/>
      <c r="J31" s="104"/>
    </row>
    <row r="32" ht="17.4" spans="1:33">
      <c r="A32" s="106" t="s">
        <v>34</v>
      </c>
      <c r="B32" s="106" t="s">
        <v>35</v>
      </c>
      <c r="C32" s="106" t="s">
        <v>36</v>
      </c>
      <c r="D32" s="107" t="s">
        <v>37</v>
      </c>
      <c r="E32" s="108" t="s">
        <v>38</v>
      </c>
      <c r="F32" s="108" t="s">
        <v>39</v>
      </c>
      <c r="G32" s="108" t="s">
        <v>40</v>
      </c>
      <c r="H32" s="108" t="s">
        <v>41</v>
      </c>
      <c r="I32" s="108" t="s">
        <v>42</v>
      </c>
      <c r="J32" s="109" t="s">
        <v>43</v>
      </c>
      <c r="K32" s="108" t="s">
        <v>44</v>
      </c>
      <c r="M32" s="110" t="s">
        <v>45</v>
      </c>
    </row>
    <row r="33" ht="17.4" spans="1:13">
      <c r="A33" s="111" t="s">
        <v>46</v>
      </c>
      <c r="B33" s="112"/>
      <c r="C33" s="112">
        <f t="shared" ref="C33:C54" si="14">SUM(D33:J33)</f>
        <v>386141.908845505</v>
      </c>
      <c r="D33" s="112">
        <f>SUM([1]附件5.恒嘉相关!D5:E5)/10000</f>
        <v>0</v>
      </c>
      <c r="E33" s="112">
        <f t="shared" ref="E33:J33" si="15">SUM(E84:E87,E90:E93)/1.09</f>
        <v>0</v>
      </c>
      <c r="F33" s="112">
        <f t="shared" si="15"/>
        <v>351803.39046745</v>
      </c>
      <c r="G33" s="112">
        <f t="shared" si="15"/>
        <v>22574.784433101</v>
      </c>
      <c r="H33" s="112">
        <f t="shared" si="15"/>
        <v>0</v>
      </c>
      <c r="I33" s="112">
        <f t="shared" si="15"/>
        <v>11763.7339449541</v>
      </c>
      <c r="J33" s="112">
        <f t="shared" si="15"/>
        <v>0</v>
      </c>
      <c r="K33" s="113"/>
      <c r="M33" s="114">
        <f>+C33-[4]海沧璞盛!B44</f>
        <v>7469.80923816562</v>
      </c>
    </row>
    <row r="34" ht="17.4" spans="1:13">
      <c r="A34" s="111" t="s">
        <v>47</v>
      </c>
      <c r="B34" s="112"/>
      <c r="C34" s="112">
        <f t="shared" si="14"/>
        <v>266169.477474013</v>
      </c>
      <c r="D34" s="112">
        <f t="shared" ref="D34:J34" si="16">SUM(D35,D39,D41,D44,D45,D46)</f>
        <v>-371.373236</v>
      </c>
      <c r="E34" s="112">
        <f t="shared" si="16"/>
        <v>-893.975747897221</v>
      </c>
      <c r="F34" s="112">
        <f t="shared" si="16"/>
        <v>236335.054289518</v>
      </c>
      <c r="G34" s="112">
        <f t="shared" si="16"/>
        <v>18974.1188532473</v>
      </c>
      <c r="H34" s="112">
        <f t="shared" si="16"/>
        <v>831.49203012189</v>
      </c>
      <c r="I34" s="112">
        <f t="shared" si="16"/>
        <v>11294.1612850232</v>
      </c>
      <c r="J34" s="112">
        <f t="shared" si="16"/>
        <v>0</v>
      </c>
      <c r="K34" s="8"/>
      <c r="M34" s="114">
        <f>+C34-[4]海沧璞盛!B45</f>
        <v>-60257.6186833107</v>
      </c>
    </row>
    <row r="35" ht="17.4" spans="1:13">
      <c r="A35" s="115" t="s">
        <v>48</v>
      </c>
      <c r="B35" s="8"/>
      <c r="C35" s="8">
        <f t="shared" si="14"/>
        <v>253252.500306426</v>
      </c>
      <c r="D35" s="8">
        <f>SUM([1]附件5.恒嘉相关!D8:E8)/10000</f>
        <v>0</v>
      </c>
      <c r="E35" s="116"/>
      <c r="F35" s="116">
        <f t="array" ref="F35">SUMPRODUCT(F71:F73,$L$108:$L$110)+F61*$L$111+SUMPRODUCT(F77:F79,$L$114:$L$116)+F67*$L$117</f>
        <v>226685.768639311</v>
      </c>
      <c r="G35" s="116">
        <f t="array" ref="G35">SUMPRODUCT(G71:G73,$L$108:$L$110)+G61*$L$111+SUMPRODUCT(G77:G79,$L$114:$L$116)+G67*$L$117</f>
        <v>15583.0435177903</v>
      </c>
      <c r="H35" s="116">
        <f t="array" ref="H35">SUMPRODUCT(H71:H73,$L$108:$L$110)+H61*$L$111+SUMPRODUCT(H77:H79,$L$114:$L$116)+H67*$L$117</f>
        <v>0</v>
      </c>
      <c r="I35" s="116">
        <f t="array" ref="I35">SUMPRODUCT(I71:I73,$L$108:$L$110)+I61*$L$111+SUMPRODUCT(I77:I79,$L$114:$L$116)+I67*$L$117</f>
        <v>10983.6881493249</v>
      </c>
      <c r="J35" s="116">
        <f t="array" ref="J35">SUMPRODUCT(J71:J73,$L$108:$L$110)+J61*$L$111+SUMPRODUCT(J77:J79,$L$114:$L$116)+J67*$L$117</f>
        <v>0</v>
      </c>
      <c r="K35" s="8"/>
      <c r="M35" s="114">
        <f>+C35-[4]海沧璞盛!B46</f>
        <v>-57180.1782309482</v>
      </c>
    </row>
    <row r="36" ht="17.4" spans="1:13">
      <c r="A36" s="117" t="s">
        <v>49</v>
      </c>
      <c r="B36" s="8"/>
      <c r="C36" s="8">
        <f t="shared" si="14"/>
        <v>0</v>
      </c>
      <c r="D36" s="8"/>
      <c r="E36" s="8"/>
      <c r="F36" s="8"/>
      <c r="G36" s="8"/>
      <c r="H36" s="8"/>
      <c r="I36" s="8"/>
      <c r="J36" s="8"/>
      <c r="K36" s="8"/>
      <c r="M36" s="114">
        <f>+C36-[4]海沧璞盛!B47</f>
        <v>0</v>
      </c>
    </row>
    <row r="37" ht="17.4" spans="1:13">
      <c r="A37" s="117" t="s">
        <v>50</v>
      </c>
      <c r="B37" s="8"/>
      <c r="C37" s="8">
        <f t="shared" si="14"/>
        <v>0</v>
      </c>
      <c r="D37" s="8"/>
      <c r="E37" s="8"/>
      <c r="F37" s="8"/>
      <c r="G37" s="8"/>
      <c r="H37" s="8"/>
      <c r="I37" s="8"/>
      <c r="J37" s="8"/>
      <c r="K37" s="8"/>
      <c r="M37" s="114">
        <f>+C37-[4]海沧璞盛!B48</f>
        <v>0</v>
      </c>
    </row>
    <row r="38" ht="17.4" spans="1:13">
      <c r="A38" s="117" t="s">
        <v>51</v>
      </c>
      <c r="B38" s="8"/>
      <c r="C38" s="8">
        <f t="shared" si="14"/>
        <v>0</v>
      </c>
      <c r="D38" s="8"/>
      <c r="E38" s="8"/>
      <c r="F38" s="8"/>
      <c r="G38" s="8"/>
      <c r="H38" s="8"/>
      <c r="I38" s="8"/>
      <c r="J38" s="8"/>
      <c r="K38" s="8"/>
      <c r="M38" s="114">
        <f>+C38-[4]海沧璞盛!B49</f>
        <v>0</v>
      </c>
    </row>
    <row r="39" ht="17.4" spans="1:13">
      <c r="A39" s="115" t="s">
        <v>52</v>
      </c>
      <c r="B39" s="8"/>
      <c r="C39" s="8">
        <f t="shared" si="14"/>
        <v>1632.82796284382</v>
      </c>
      <c r="D39" s="8">
        <f>+SUM([1]附件5.恒嘉相关!D9:E9)/10000</f>
        <v>242.717091</v>
      </c>
      <c r="E39" s="8"/>
      <c r="F39" s="8">
        <f>+F33*3%*12%</f>
        <v>1266.49220568282</v>
      </c>
      <c r="G39" s="8">
        <f>+G33*3%*12%</f>
        <v>81.2692239591634</v>
      </c>
      <c r="H39" s="8">
        <f>+H33*3%*12%</f>
        <v>0</v>
      </c>
      <c r="I39" s="8">
        <f>+I33*3%*12%</f>
        <v>42.3494422018349</v>
      </c>
      <c r="J39" s="8">
        <f>+J33*3%*12%</f>
        <v>0</v>
      </c>
      <c r="K39" s="8"/>
      <c r="M39" s="114">
        <f>+C39-[4]海沧璞盛!B50</f>
        <v>339.433858614567</v>
      </c>
    </row>
    <row r="40" ht="17.4" spans="1:13">
      <c r="A40" s="117" t="s">
        <v>53</v>
      </c>
      <c r="B40" s="8"/>
      <c r="C40" s="8">
        <f t="shared" si="14"/>
        <v>0</v>
      </c>
      <c r="D40" s="8"/>
      <c r="E40" s="8"/>
      <c r="F40" s="8"/>
      <c r="G40" s="8"/>
      <c r="H40" s="8"/>
      <c r="I40" s="8"/>
      <c r="J40" s="8"/>
      <c r="K40" s="8"/>
      <c r="M40" s="114">
        <f>+C40-[4]海沧璞盛!B51</f>
        <v>0</v>
      </c>
    </row>
    <row r="41" ht="17.4" spans="1:13">
      <c r="A41" s="115" t="s">
        <v>54</v>
      </c>
      <c r="B41" s="8"/>
      <c r="C41" s="8">
        <f t="shared" si="14"/>
        <v>14049.967248504</v>
      </c>
      <c r="D41" s="8">
        <f>SUM([1]附件5.恒嘉相关!D10:E10)/10000</f>
        <v>1694.207398</v>
      </c>
      <c r="E41" s="8">
        <f>+[1]附件5.恒嘉相关!C80</f>
        <v>590.459216581271</v>
      </c>
      <c r="F41" s="8">
        <f>SUM(F42:F43)</f>
        <v>9017.937261939</v>
      </c>
      <c r="G41" s="8">
        <f>SUM(G42:G43)</f>
        <v>2479.2396784873</v>
      </c>
      <c r="H41" s="8">
        <f>SUM(H42:H43)</f>
        <v>0</v>
      </c>
      <c r="I41" s="8">
        <f>SUM(I42:I43)</f>
        <v>268.123693496482</v>
      </c>
      <c r="J41" s="8">
        <f>SUM(J42:J43)</f>
        <v>0</v>
      </c>
      <c r="K41" s="8"/>
      <c r="L41" s="118">
        <f>+C41/(C33*1.09)</f>
        <v>0.0333811946187742</v>
      </c>
      <c r="M41" s="114">
        <f>+C41-[4]海沧璞盛!B52</f>
        <v>1692.63510050405</v>
      </c>
    </row>
    <row r="42" ht="17.4" spans="1:13">
      <c r="A42" s="117" t="s">
        <v>55</v>
      </c>
      <c r="B42" s="8"/>
      <c r="C42" s="8">
        <f t="shared" si="14"/>
        <v>8801.09965916458</v>
      </c>
      <c r="D42" s="8"/>
      <c r="E42" s="8"/>
      <c r="F42" s="8">
        <f>+F33*[1]附件5.恒嘉相关!$B$112</f>
        <v>8018.44251817491</v>
      </c>
      <c r="G42" s="8">
        <f>+G33*[1]附件5.恒嘉相关!$B$112</f>
        <v>514.53344749319</v>
      </c>
      <c r="H42" s="8">
        <f>+H33*[1]附件5.恒嘉相关!$B$112</f>
        <v>0</v>
      </c>
      <c r="I42" s="8">
        <f>+I33*[1]附件5.恒嘉相关!$B$112</f>
        <v>268.123693496482</v>
      </c>
      <c r="J42" s="8">
        <f>+J33*[1]附件5.恒嘉相关!$B$112</f>
        <v>0</v>
      </c>
      <c r="K42" s="8"/>
      <c r="M42" s="114">
        <f>+C42-[4]海沧璞盛!B53</f>
        <v>8801.09965916458</v>
      </c>
    </row>
    <row r="43" ht="17.4" spans="1:13">
      <c r="A43" s="117" t="s">
        <v>56</v>
      </c>
      <c r="B43" s="8"/>
      <c r="C43" s="8">
        <f t="shared" si="14"/>
        <v>2964.2009747582</v>
      </c>
      <c r="D43" s="8"/>
      <c r="E43" s="8"/>
      <c r="F43" s="8">
        <f>+[1]附件5.恒嘉相关!D113</f>
        <v>999.494743764086</v>
      </c>
      <c r="G43" s="8">
        <f>+[1]附件5.恒嘉相关!E113</f>
        <v>1964.70623099411</v>
      </c>
      <c r="H43" s="8"/>
      <c r="I43" s="8"/>
      <c r="J43" s="8"/>
      <c r="K43" s="8"/>
      <c r="M43" s="114">
        <f>+C43-[4]海沧璞盛!B54</f>
        <v>2964.2009747582</v>
      </c>
    </row>
    <row r="44" ht="17.4" spans="1:13">
      <c r="A44" s="115" t="s">
        <v>57</v>
      </c>
      <c r="B44" s="8"/>
      <c r="C44" s="8">
        <f t="shared" si="14"/>
        <v>0</v>
      </c>
      <c r="D44" s="8"/>
      <c r="E44" s="8"/>
      <c r="F44" s="8"/>
      <c r="G44" s="8"/>
      <c r="H44" s="8"/>
      <c r="I44" s="8"/>
      <c r="J44" s="8"/>
      <c r="K44" s="8"/>
      <c r="M44" s="114">
        <f>+C44-[4]海沧璞盛!B55</f>
        <v>0</v>
      </c>
    </row>
    <row r="45" ht="17.4" spans="1:13">
      <c r="A45" s="115" t="s">
        <v>58</v>
      </c>
      <c r="B45" s="8"/>
      <c r="C45" s="8">
        <f t="shared" si="14"/>
        <v>2509.83602937669</v>
      </c>
      <c r="D45" s="8">
        <f>SUM([1]附件5.恒嘉相关!D11:E11)/10000</f>
        <v>18.083733</v>
      </c>
      <c r="E45" s="8"/>
      <c r="F45" s="8">
        <f>+[1]附件5.恒嘉相关!C81</f>
        <v>829.693833244281</v>
      </c>
      <c r="G45" s="8">
        <f>+[1]附件5.恒嘉相关!D81</f>
        <v>830.566433010519</v>
      </c>
      <c r="H45" s="8">
        <f>+[1]附件5.恒嘉相关!E81</f>
        <v>831.49203012189</v>
      </c>
      <c r="I45" s="8"/>
      <c r="J45" s="8"/>
      <c r="K45" s="8"/>
      <c r="L45" s="118">
        <f>+C45/C33/1.09</f>
        <v>0.00596309752727396</v>
      </c>
      <c r="M45" s="114">
        <f>+C45-[4]海沧璞盛!B56</f>
        <v>-2533.97301062331</v>
      </c>
    </row>
    <row r="46" ht="17.4" spans="1:13">
      <c r="A46" s="115" t="s">
        <v>59</v>
      </c>
      <c r="B46" s="8"/>
      <c r="C46" s="8">
        <f t="shared" si="14"/>
        <v>-5275.65407313714</v>
      </c>
      <c r="D46" s="8">
        <f>SUM([1]附件5.恒嘉相关!D13:E13)/10000</f>
        <v>-2326.381458</v>
      </c>
      <c r="E46" s="8">
        <f>SUM([5]Sheet5!$BJ$47:$BU$47)</f>
        <v>-1484.43496447849</v>
      </c>
      <c r="F46" s="8">
        <f>SUM([5]Sheet5!$BV$47:$CG$47)</f>
        <v>-1464.83765065865</v>
      </c>
      <c r="G46" s="8">
        <f>SUM([5]Sheet5!$CH$47:$CS$47)</f>
        <v>0</v>
      </c>
      <c r="H46" s="8">
        <v>0</v>
      </c>
      <c r="I46" s="8">
        <v>0</v>
      </c>
      <c r="J46" s="8"/>
      <c r="K46" s="8"/>
      <c r="M46" s="114">
        <f>+C46-[4]海沧璞盛!B57</f>
        <v>-2575.5364008582</v>
      </c>
    </row>
    <row r="47" ht="17.4" spans="1:13">
      <c r="A47" s="115" t="s">
        <v>60</v>
      </c>
      <c r="B47" s="8"/>
      <c r="C47" s="8">
        <f t="shared" si="14"/>
        <v>0</v>
      </c>
      <c r="D47" s="8"/>
      <c r="E47" s="8"/>
      <c r="F47" s="8"/>
      <c r="G47" s="8"/>
      <c r="H47" s="8"/>
      <c r="I47" s="8"/>
      <c r="J47" s="8"/>
      <c r="K47" s="8"/>
      <c r="M47" s="114">
        <f>+C47-[4]海沧璞盛!B58</f>
        <v>0</v>
      </c>
    </row>
    <row r="48" ht="17.4" spans="1:13">
      <c r="A48" s="115" t="s">
        <v>61</v>
      </c>
      <c r="B48" s="8"/>
      <c r="C48" s="8">
        <f t="shared" si="14"/>
        <v>0</v>
      </c>
      <c r="D48" s="8"/>
      <c r="E48" s="8"/>
      <c r="F48" s="8"/>
      <c r="G48" s="8"/>
      <c r="H48" s="8"/>
      <c r="I48" s="8"/>
      <c r="J48" s="8"/>
      <c r="K48" s="8"/>
      <c r="M48" s="114">
        <f>+C48-[4]海沧璞盛!B59</f>
        <v>0</v>
      </c>
    </row>
    <row r="49" ht="17.4" spans="1:14">
      <c r="A49" s="111" t="s">
        <v>62</v>
      </c>
      <c r="B49" s="112"/>
      <c r="C49" s="112">
        <f t="shared" si="14"/>
        <v>119972.431371491</v>
      </c>
      <c r="D49" s="112">
        <f t="shared" ref="D49:J49" si="17">+D33-D34+D47-D48</f>
        <v>371.373236</v>
      </c>
      <c r="E49" s="112">
        <f t="shared" si="17"/>
        <v>893.975747897221</v>
      </c>
      <c r="F49" s="112">
        <f t="shared" si="17"/>
        <v>115468.336177931</v>
      </c>
      <c r="G49" s="112">
        <f t="shared" si="17"/>
        <v>3600.66557985362</v>
      </c>
      <c r="H49" s="112">
        <f t="shared" si="17"/>
        <v>-831.49203012189</v>
      </c>
      <c r="I49" s="112">
        <f t="shared" si="17"/>
        <v>469.572659930927</v>
      </c>
      <c r="J49" s="112">
        <f t="shared" si="17"/>
        <v>0</v>
      </c>
      <c r="K49" s="8"/>
      <c r="M49" s="114">
        <f>+C49-[4]海沧璞盛!B60</f>
        <v>67727.4279214763</v>
      </c>
    </row>
    <row r="50" ht="17.4" spans="1:14">
      <c r="A50" s="119" t="s">
        <v>63</v>
      </c>
      <c r="B50" s="8"/>
      <c r="C50" s="8">
        <f t="shared" si="14"/>
        <v>64.403606</v>
      </c>
      <c r="D50" s="8">
        <f>SUM([1]附件5.恒嘉相关!D28:E28)/10000</f>
        <v>64.403606</v>
      </c>
      <c r="E50" s="8"/>
      <c r="F50" s="8"/>
      <c r="G50" s="8"/>
      <c r="H50" s="8"/>
      <c r="I50" s="8"/>
      <c r="J50" s="8"/>
      <c r="K50" s="8"/>
      <c r="M50" s="114">
        <f>+C50-[4]海沧璞盛!B61</f>
        <v>64.403606</v>
      </c>
    </row>
    <row r="51" ht="17.4" spans="1:14">
      <c r="A51" s="119" t="s">
        <v>64</v>
      </c>
      <c r="B51" s="8"/>
      <c r="C51" s="8">
        <f t="shared" si="14"/>
        <v>0</v>
      </c>
      <c r="D51" s="8">
        <f>+SUM([1]附件5.恒嘉相关!D30:E30)/10000</f>
        <v>0</v>
      </c>
      <c r="E51" s="8"/>
      <c r="F51" s="8"/>
      <c r="G51" s="8"/>
      <c r="H51" s="8"/>
      <c r="I51" s="8"/>
      <c r="J51" s="8"/>
      <c r="K51" s="8"/>
      <c r="M51" s="114">
        <f>+C51-[4]海沧璞盛!B62</f>
        <v>0</v>
      </c>
    </row>
    <row r="52" ht="17.4" spans="1:14">
      <c r="A52" s="111" t="s">
        <v>65</v>
      </c>
      <c r="B52" s="112"/>
      <c r="C52" s="112">
        <f t="shared" si="14"/>
        <v>120036.834977491</v>
      </c>
      <c r="D52" s="112">
        <f t="shared" ref="D52:J52" si="18">+D49+D50-D51</f>
        <v>435.776842</v>
      </c>
      <c r="E52" s="112">
        <f t="shared" si="18"/>
        <v>893.975747897221</v>
      </c>
      <c r="F52" s="112">
        <f t="shared" si="18"/>
        <v>115468.336177931</v>
      </c>
      <c r="G52" s="112">
        <f t="shared" si="18"/>
        <v>3600.66557985362</v>
      </c>
      <c r="H52" s="112">
        <f t="shared" si="18"/>
        <v>-831.49203012189</v>
      </c>
      <c r="I52" s="112">
        <f t="shared" si="18"/>
        <v>469.572659930927</v>
      </c>
      <c r="J52" s="112">
        <f t="shared" si="18"/>
        <v>0</v>
      </c>
      <c r="K52" s="113"/>
      <c r="M52" s="114">
        <f>+C52-[4]海沧璞盛!B63</f>
        <v>67791.8315274763</v>
      </c>
    </row>
    <row r="53" ht="17.4" spans="1:14">
      <c r="A53" s="120" t="s">
        <v>66</v>
      </c>
      <c r="B53" s="8"/>
      <c r="C53" s="8">
        <f t="shared" si="14"/>
        <v>29676.7705968985</v>
      </c>
      <c r="D53" s="8"/>
      <c r="E53" s="8"/>
      <c r="F53" s="8">
        <f>+F52*0.25</f>
        <v>28867.0840444829</v>
      </c>
      <c r="G53" s="8">
        <f>+G52*0.25</f>
        <v>900.166394963406</v>
      </c>
      <c r="H53" s="8">
        <f>+H52*0.25</f>
        <v>-207.873007530473</v>
      </c>
      <c r="I53" s="8">
        <f>+I52*0.25</f>
        <v>117.393164982732</v>
      </c>
      <c r="J53" s="8"/>
      <c r="K53" s="8"/>
      <c r="M53" s="114">
        <f>+C53-[4]海沧璞盛!B64</f>
        <v>16615.5197343947</v>
      </c>
    </row>
    <row r="54" ht="17.4" spans="1:14">
      <c r="A54" s="111" t="s">
        <v>67</v>
      </c>
      <c r="B54" s="112"/>
      <c r="C54" s="112">
        <f t="shared" si="14"/>
        <v>90360.0643805928</v>
      </c>
      <c r="D54" s="112">
        <f t="shared" ref="D54:J54" si="19">+D52-D53</f>
        <v>435.776842</v>
      </c>
      <c r="E54" s="112">
        <f t="shared" si="19"/>
        <v>893.975747897221</v>
      </c>
      <c r="F54" s="112">
        <f t="shared" si="19"/>
        <v>86601.2521334486</v>
      </c>
      <c r="G54" s="112">
        <f t="shared" si="19"/>
        <v>2700.49918489022</v>
      </c>
      <c r="H54" s="112">
        <f t="shared" si="19"/>
        <v>-623.619022591418</v>
      </c>
      <c r="I54" s="112">
        <f t="shared" si="19"/>
        <v>352.179494948195</v>
      </c>
      <c r="J54" s="112">
        <f t="shared" si="19"/>
        <v>0</v>
      </c>
      <c r="K54" s="8"/>
      <c r="M54" s="114">
        <f>+C54-[4]海沧璞盛!B65</f>
        <v>51176.3117930815</v>
      </c>
    </row>
    <row r="55" ht="19" customHeight="1"/>
    <row r="56" ht="17.4" spans="1:14">
      <c r="A56" s="2" t="s">
        <v>28</v>
      </c>
      <c r="B56" s="121"/>
    </row>
    <row r="57" ht="17.4" spans="1:14">
      <c r="A57" s="3" t="s">
        <v>68</v>
      </c>
      <c r="B57" s="4"/>
      <c r="C57" s="4"/>
      <c r="D57" s="5" t="s">
        <v>9</v>
      </c>
      <c r="E57" s="5" t="s">
        <v>69</v>
      </c>
      <c r="F57" s="5" t="s">
        <v>70</v>
      </c>
      <c r="G57" s="5" t="s">
        <v>71</v>
      </c>
      <c r="H57" s="5" t="s">
        <v>72</v>
      </c>
      <c r="I57" s="5" t="s">
        <v>73</v>
      </c>
      <c r="J57" s="5" t="s">
        <v>43</v>
      </c>
      <c r="L57" s="122" t="s">
        <v>74</v>
      </c>
      <c r="M57" s="122" t="s">
        <v>75</v>
      </c>
      <c r="N57" s="122" t="s">
        <v>76</v>
      </c>
    </row>
    <row r="58" ht="17.4" spans="1:14">
      <c r="A58" s="6" t="s">
        <v>22</v>
      </c>
      <c r="B58" s="7" t="s">
        <v>77</v>
      </c>
      <c r="C58" s="7" t="s">
        <v>78</v>
      </c>
      <c r="D58" s="123">
        <f>SUM(E58:J58)</f>
        <v>660</v>
      </c>
      <c r="E58" s="8"/>
      <c r="F58" s="8">
        <f>(SUM(H18,Q18,T18)-E58)*0.95</f>
        <v>627</v>
      </c>
      <c r="G58" s="8">
        <f>SUM(H18,Q18,T18,W18)-SUM(E58:F58)</f>
        <v>33</v>
      </c>
      <c r="H58" s="8">
        <f>SUM(H18,Q18,T18,W18,Z18)-SUM(E58:G58)</f>
        <v>0</v>
      </c>
      <c r="I58" s="8">
        <f>SUM(H18,Q18,T18,W18,Z18,AC18)-SUM(E58:H58)</f>
        <v>0</v>
      </c>
      <c r="J58" s="8">
        <f>E18-SUM(E58:I58)</f>
        <v>0</v>
      </c>
      <c r="K58" s="124">
        <f>SUM(D58:D61)-SUM(E18:E21)</f>
        <v>0</v>
      </c>
    </row>
    <row r="59" ht="17.4" spans="1:14">
      <c r="A59" s="6" t="s">
        <v>22</v>
      </c>
      <c r="B59" s="7" t="s">
        <v>77</v>
      </c>
      <c r="C59" s="7" t="s">
        <v>79</v>
      </c>
      <c r="D59" s="123">
        <f>SUM(E59:J59)</f>
        <v>168</v>
      </c>
      <c r="E59" s="8"/>
      <c r="F59" s="8">
        <f>(SUM(H19,Q19,T19)-E59)*0.95</f>
        <v>159.6</v>
      </c>
      <c r="G59" s="8">
        <f>SUM(H19,Q19,T19,W19)-SUM(E59:F59)</f>
        <v>8.40000000000001</v>
      </c>
      <c r="H59" s="8">
        <f>SUM(H19,Q19,T19,W19,Z19)-SUM(E59:G59)</f>
        <v>0</v>
      </c>
      <c r="I59" s="8">
        <f>SUM(H19,Q19,T19,W19,Z19,AC19)-SUM(E59:H59)</f>
        <v>0</v>
      </c>
      <c r="J59" s="8">
        <f>E19-SUM(E59:I59)</f>
        <v>0</v>
      </c>
    </row>
    <row r="60" ht="17.4" spans="1:14">
      <c r="A60" s="6" t="s">
        <v>80</v>
      </c>
      <c r="B60" s="7" t="s">
        <v>81</v>
      </c>
      <c r="C60" s="7" t="s">
        <v>79</v>
      </c>
      <c r="D60" s="123">
        <f>SUM(E60:J60)</f>
        <v>44</v>
      </c>
      <c r="E60" s="8"/>
      <c r="F60" s="8">
        <f>(SUM(H20,Q20,T20)-E60)*0.95</f>
        <v>0</v>
      </c>
      <c r="G60" s="8">
        <f>SUM(H20,Q20,T20,W20)-SUM(E60:F60)</f>
        <v>0</v>
      </c>
      <c r="H60" s="8">
        <f>SUM(H20,Q20,T20,W20,Z20)-SUM(E60:G60)</f>
        <v>0</v>
      </c>
      <c r="I60" s="8">
        <f>SUM(H20,Q20,T20,W20,Z20,AC20)-SUM(E60:H60)</f>
        <v>44</v>
      </c>
      <c r="J60" s="8">
        <f>E20-SUM(E60:I60)</f>
        <v>0</v>
      </c>
    </row>
    <row r="61" ht="17.4" spans="1:14">
      <c r="A61" s="6" t="s">
        <v>26</v>
      </c>
      <c r="B61" s="7" t="s">
        <v>81</v>
      </c>
      <c r="C61" s="7" t="s">
        <v>79</v>
      </c>
      <c r="D61" s="123">
        <f>SUM(E61:J61)</f>
        <v>942</v>
      </c>
      <c r="E61" s="8"/>
      <c r="F61" s="8">
        <f>(SUM(H21,Q21,T21)-E61)*0.95</f>
        <v>274.55</v>
      </c>
      <c r="G61" s="8">
        <f>SUM(H21,Q21,T21,W21)-SUM(E61:F61)</f>
        <v>286.45</v>
      </c>
      <c r="H61" s="8">
        <f>SUM(H21,Q21,T21,W21,Z21)-SUM(E61:G61)</f>
        <v>0</v>
      </c>
      <c r="I61" s="8">
        <f>SUM(H21,Q21,T21,W21,Z21,AC21)-SUM(E61:H61)</f>
        <v>381</v>
      </c>
      <c r="J61" s="8">
        <f>E21-SUM(E61:I61)</f>
        <v>0</v>
      </c>
      <c r="L61" s="104">
        <f>+'[3]05-1销售计划(一期)'!$G$29</f>
        <v>942</v>
      </c>
      <c r="M61" s="104">
        <f>+L61-D61</f>
        <v>0</v>
      </c>
      <c r="N61" s="125">
        <f>+'[3]02-规划输入'!$G$94</f>
        <v>31.4808917197452</v>
      </c>
    </row>
    <row r="62" ht="18" customHeight="1" spans="1:14">
      <c r="C62" s="126">
        <v>0.95</v>
      </c>
    </row>
    <row r="63" ht="17.4" spans="1:14">
      <c r="A63" s="3" t="s">
        <v>82</v>
      </c>
      <c r="B63" s="10"/>
      <c r="C63" s="10"/>
      <c r="D63" s="11"/>
      <c r="E63" s="11"/>
      <c r="F63" s="11"/>
      <c r="G63" s="11"/>
      <c r="H63" s="11"/>
      <c r="I63" s="11"/>
      <c r="J63" s="11"/>
    </row>
    <row r="64" ht="17.4" spans="1:14">
      <c r="A64" s="6" t="s">
        <v>22</v>
      </c>
      <c r="B64" s="7" t="s">
        <v>77</v>
      </c>
      <c r="C64" s="7" t="s">
        <v>78</v>
      </c>
      <c r="D64" s="123">
        <f>SUM(E64:J64)</f>
        <v>227</v>
      </c>
      <c r="E64" s="8"/>
      <c r="F64" s="8">
        <f>(SUM(I18,R18,U18)-E64)*0.95</f>
        <v>215.65</v>
      </c>
      <c r="G64" s="8">
        <f>SUM(I18,R18,U18,X18)-SUM(E64:F64)</f>
        <v>11.35</v>
      </c>
      <c r="H64" s="8">
        <f>SUM(I18,R18,U18,X18,AA18)-SUM(E64:G64)</f>
        <v>0</v>
      </c>
      <c r="I64" s="8">
        <f>SUM(I18,R18,U18,X18,AA18,AD18)-SUM(E64:H64)</f>
        <v>0</v>
      </c>
      <c r="J64" s="8">
        <f>+F18-SUM(E64:I64)</f>
        <v>0</v>
      </c>
      <c r="K64" s="124">
        <f>SUM(D64:D67)-SUM(F18:F21)</f>
        <v>0</v>
      </c>
    </row>
    <row r="65" ht="17.4" spans="1:14">
      <c r="A65" s="6" t="s">
        <v>22</v>
      </c>
      <c r="B65" s="7" t="s">
        <v>77</v>
      </c>
      <c r="C65" s="7" t="s">
        <v>79</v>
      </c>
      <c r="D65" s="123">
        <f>SUM(E65:J65)</f>
        <v>0</v>
      </c>
      <c r="E65" s="8"/>
      <c r="F65" s="8">
        <f>(SUM(I19,R19,U19)-E65)*0.95</f>
        <v>0</v>
      </c>
      <c r="G65" s="8">
        <f>SUM(I19,R19,U19,X19)-SUM(E65:F65)</f>
        <v>0</v>
      </c>
      <c r="H65" s="8">
        <f>SUM(I19,R19,U19,X19,AA19)-SUM(E65:G65)</f>
        <v>0</v>
      </c>
      <c r="I65" s="8">
        <f>SUM(I19,R19,U19,X19,AA19,AD19)-SUM(E65:H65)</f>
        <v>0</v>
      </c>
      <c r="J65" s="8">
        <f>+F19-SUM(E65:I65)</f>
        <v>0</v>
      </c>
    </row>
    <row r="66" ht="17.4" spans="1:14">
      <c r="A66" s="6" t="s">
        <v>80</v>
      </c>
      <c r="B66" s="7" t="s">
        <v>81</v>
      </c>
      <c r="C66" s="7" t="s">
        <v>79</v>
      </c>
      <c r="D66" s="123">
        <f>SUM(E66:J66)</f>
        <v>7</v>
      </c>
      <c r="E66" s="8"/>
      <c r="F66" s="8">
        <f>(SUM(I20,R20,U20)-E66)*0.95</f>
        <v>0</v>
      </c>
      <c r="G66" s="8">
        <f>SUM(I20,R20,U20,X20)-SUM(E66:F66)</f>
        <v>0</v>
      </c>
      <c r="H66" s="8">
        <f>SUM(I20,R20,U20,X20,AA20)-SUM(E66:G66)</f>
        <v>0</v>
      </c>
      <c r="I66" s="8">
        <f>SUM(I20,R20,U20,X20,AA20,AD20)-SUM(E66:H66)</f>
        <v>7</v>
      </c>
      <c r="J66" s="8">
        <f>+F20-SUM(E66:I66)</f>
        <v>0</v>
      </c>
    </row>
    <row r="67" ht="17.4" spans="1:14">
      <c r="A67" s="6" t="s">
        <v>26</v>
      </c>
      <c r="B67" s="7" t="s">
        <v>81</v>
      </c>
      <c r="C67" s="7" t="s">
        <v>79</v>
      </c>
      <c r="D67" s="123">
        <f>SUM(E67:J67)</f>
        <v>148</v>
      </c>
      <c r="E67" s="8"/>
      <c r="F67" s="8">
        <f>(SUM(I21,R21,U21)-E67)*0.95</f>
        <v>84.55</v>
      </c>
      <c r="G67" s="8">
        <f>SUM(I21,R21,U21,X21)-SUM(E67:F67)</f>
        <v>4.45</v>
      </c>
      <c r="H67" s="8">
        <f>SUM(I21,R21,U21,X21,AA21)-SUM(E67:G67)</f>
        <v>0</v>
      </c>
      <c r="I67" s="8">
        <f>SUM(I21,R21,U21,X21,AA21,AD21)-SUM(E67:H67)</f>
        <v>59</v>
      </c>
      <c r="J67" s="8">
        <f>+F21-SUM(E67:I67)</f>
        <v>0</v>
      </c>
      <c r="L67" s="104">
        <f>+'[3]05-2销售计划(二期)'!$G$29</f>
        <v>148</v>
      </c>
      <c r="M67" s="104">
        <f>+L67-D67</f>
        <v>0</v>
      </c>
      <c r="N67" s="125">
        <f>+'[3]02-规划输入'!$H$94</f>
        <v>45.5709459459459</v>
      </c>
    </row>
    <row r="68" ht="17.4" spans="1:14">
      <c r="A68" s="127"/>
      <c r="B68" s="128"/>
      <c r="C68" s="128"/>
      <c r="D68" s="104"/>
      <c r="E68" s="114"/>
      <c r="F68" s="114"/>
      <c r="G68" s="114"/>
      <c r="H68" s="114"/>
      <c r="I68" s="114"/>
      <c r="J68" s="114"/>
    </row>
    <row r="69" ht="24" customHeight="1" spans="1:14">
      <c r="A69" s="2" t="s">
        <v>27</v>
      </c>
    </row>
    <row r="70" ht="17.4" spans="1:14">
      <c r="A70" s="3" t="s">
        <v>83</v>
      </c>
      <c r="B70" s="4"/>
      <c r="C70" s="4"/>
      <c r="D70" s="5" t="s">
        <v>9</v>
      </c>
      <c r="E70" s="5" t="s">
        <v>69</v>
      </c>
      <c r="F70" s="5" t="s">
        <v>70</v>
      </c>
      <c r="G70" s="5" t="s">
        <v>71</v>
      </c>
      <c r="H70" s="5" t="s">
        <v>72</v>
      </c>
      <c r="I70" s="5" t="s">
        <v>73</v>
      </c>
      <c r="J70" s="5" t="s">
        <v>43</v>
      </c>
    </row>
    <row r="71" ht="17.4" spans="1:14">
      <c r="A71" s="6" t="s">
        <v>22</v>
      </c>
      <c r="B71" s="7" t="s">
        <v>77</v>
      </c>
      <c r="C71" s="7" t="s">
        <v>78</v>
      </c>
      <c r="D71" s="8">
        <f>SUM(E71:J71)</f>
        <v>67535.43</v>
      </c>
      <c r="E71" s="8"/>
      <c r="F71" s="129">
        <f>(SUM(H13,Q13,T13)*10000-E71)*0.95</f>
        <v>64158.6585</v>
      </c>
      <c r="G71" s="129">
        <f>SUM(H13,Q13,T13,W13)*10000-SUM(E71:F71)</f>
        <v>3376.7715</v>
      </c>
      <c r="H71" s="130">
        <f>SUM(H13,Q13,T13,W13,Z13)*10000-SUM(E71:G71)</f>
        <v>0</v>
      </c>
      <c r="I71" s="129">
        <f>SUM(H13,Q13,T13,W13,Z13,AC13)*10000-SUM(E71:H71)</f>
        <v>0</v>
      </c>
      <c r="J71" s="130">
        <f>E13*10000-SUM(E71:I71)</f>
        <v>0</v>
      </c>
      <c r="K71" s="124">
        <f>SUM(D71:D74)-SUM(E13:E16)*10000</f>
        <v>0</v>
      </c>
    </row>
    <row r="72" ht="17.4" spans="1:14">
      <c r="A72" s="6" t="s">
        <v>22</v>
      </c>
      <c r="B72" s="7" t="s">
        <v>77</v>
      </c>
      <c r="C72" s="7" t="s">
        <v>79</v>
      </c>
      <c r="D72" s="8">
        <f>SUM(E72:J72)</f>
        <v>28895.46</v>
      </c>
      <c r="E72" s="8"/>
      <c r="F72" s="129">
        <f>(SUM(H14,Q14,T14)*10000-E72)*0.95</f>
        <v>27450.687</v>
      </c>
      <c r="G72" s="129">
        <f>SUM(H14,Q14,T14,W14)*10000-SUM(E72:F72)</f>
        <v>1444.773</v>
      </c>
      <c r="H72" s="130">
        <f>SUM(H14,Q14,T14,W14,Z14)*10000-SUM(E72:G72)</f>
        <v>0</v>
      </c>
      <c r="I72" s="129">
        <f>SUM(H14,Q14,T14,W14,Z14,AC14)*10000-SUM(E72:H72)</f>
        <v>0</v>
      </c>
      <c r="J72" s="130">
        <f>E14*10000-SUM(E72:I72)</f>
        <v>0</v>
      </c>
    </row>
    <row r="73" ht="17.4" spans="1:14">
      <c r="A73" s="6" t="s">
        <v>80</v>
      </c>
      <c r="B73" s="7" t="s">
        <v>81</v>
      </c>
      <c r="C73" s="7" t="s">
        <v>79</v>
      </c>
      <c r="D73" s="8">
        <f>SUM(E73:J73)</f>
        <v>2094.23</v>
      </c>
      <c r="E73" s="8"/>
      <c r="F73" s="129">
        <f>(SUM(H15,Q15,T15)*10000-E73)*0.95</f>
        <v>0</v>
      </c>
      <c r="G73" s="129">
        <f>SUM(H15,Q15,T15,W15)*10000-SUM(E73:F73)</f>
        <v>0</v>
      </c>
      <c r="H73" s="130">
        <f>SUM(H15,Q15,T15,W15,Z15)*10000-SUM(E73:G73)</f>
        <v>0</v>
      </c>
      <c r="I73" s="129">
        <f>SUM(H15,Q15,T15,W15,Z15,AC15)*10000-SUM(E73:H73)</f>
        <v>2094.23</v>
      </c>
      <c r="J73" s="130">
        <f>E15*10000-SUM(E73:I73)</f>
        <v>0</v>
      </c>
    </row>
    <row r="74" ht="17.4" spans="1:14">
      <c r="A74" s="6" t="s">
        <v>26</v>
      </c>
      <c r="B74" s="7" t="s">
        <v>81</v>
      </c>
      <c r="C74" s="7" t="s">
        <v>79</v>
      </c>
      <c r="D74" s="8">
        <f>SUM(E74:J74)</f>
        <v>30330.5797452229</v>
      </c>
      <c r="E74" s="8"/>
      <c r="F74" s="129">
        <f>(SUM(H16,Q16,T16)*10000-E74)*0.95</f>
        <v>9225.165</v>
      </c>
      <c r="G74" s="129">
        <f>SUM(H16,Q16,T16,W16)*10000-SUM(E74:F74)</f>
        <v>9111.195</v>
      </c>
      <c r="H74" s="130">
        <f>SUM(H16,Q16,T16,W16,Z16)*10000-SUM(E74:G74)</f>
        <v>0</v>
      </c>
      <c r="I74" s="129">
        <f>SUM(H16,Q16,T16,W16,Z16,AC16)*10000-SUM(E74:H74)</f>
        <v>11994.2197452229</v>
      </c>
      <c r="J74" s="130">
        <f>E16*10000-SUM(E74:I74)</f>
        <v>0</v>
      </c>
    </row>
    <row r="76" ht="17.4" spans="1:14">
      <c r="A76" s="3" t="s">
        <v>84</v>
      </c>
      <c r="B76" s="10"/>
      <c r="C76" s="10"/>
      <c r="D76" s="11"/>
      <c r="E76" s="11"/>
      <c r="F76" s="11"/>
      <c r="G76" s="11"/>
      <c r="H76" s="11"/>
      <c r="I76" s="11"/>
      <c r="J76" s="11"/>
    </row>
    <row r="77" ht="15" customHeight="1" spans="1:14">
      <c r="A77" s="6" t="s">
        <v>22</v>
      </c>
      <c r="B77" s="7" t="s">
        <v>77</v>
      </c>
      <c r="C77" s="7" t="s">
        <v>78</v>
      </c>
      <c r="D77" s="8">
        <f>SUM(E77:J77)</f>
        <v>0</v>
      </c>
      <c r="E77" s="8"/>
      <c r="F77" s="131"/>
      <c r="G77" s="131"/>
      <c r="H77" s="131"/>
      <c r="I77" s="131"/>
      <c r="J77" s="131"/>
      <c r="K77" s="132" t="s">
        <v>85</v>
      </c>
      <c r="L77" s="132"/>
      <c r="M77" s="132"/>
    </row>
    <row r="78" ht="17.4" spans="1:14">
      <c r="A78" s="6" t="s">
        <v>22</v>
      </c>
      <c r="B78" s="7" t="s">
        <v>77</v>
      </c>
      <c r="C78" s="7" t="s">
        <v>79</v>
      </c>
      <c r="D78" s="8">
        <f>SUM(E78:J78)</f>
        <v>0</v>
      </c>
      <c r="E78" s="8"/>
      <c r="F78" s="131"/>
      <c r="G78" s="131"/>
      <c r="H78" s="131"/>
      <c r="I78" s="131"/>
      <c r="J78" s="131"/>
      <c r="K78" s="132"/>
      <c r="L78" s="132"/>
      <c r="M78" s="132"/>
    </row>
    <row r="79" ht="17.4" spans="1:14">
      <c r="A79" s="6" t="s">
        <v>80</v>
      </c>
      <c r="B79" s="7" t="s">
        <v>81</v>
      </c>
      <c r="C79" s="7" t="s">
        <v>79</v>
      </c>
      <c r="D79" s="8">
        <f>SUM(E79:J79)</f>
        <v>0</v>
      </c>
      <c r="E79" s="8"/>
      <c r="F79" s="131"/>
      <c r="G79" s="131"/>
      <c r="H79" s="131"/>
      <c r="I79" s="131"/>
      <c r="J79" s="131"/>
      <c r="K79" s="132"/>
      <c r="L79" s="132"/>
      <c r="M79" s="132"/>
    </row>
    <row r="80" ht="17.4" spans="1:14">
      <c r="A80" s="6" t="s">
        <v>26</v>
      </c>
      <c r="B80" s="7" t="s">
        <v>81</v>
      </c>
      <c r="C80" s="7" t="s">
        <v>79</v>
      </c>
      <c r="D80" s="8">
        <f>SUM(E80:J80)</f>
        <v>0</v>
      </c>
      <c r="E80" s="8"/>
      <c r="F80" s="131"/>
      <c r="G80" s="131"/>
      <c r="H80" s="131"/>
      <c r="I80" s="131"/>
      <c r="J80" s="131"/>
      <c r="K80" s="132"/>
      <c r="L80" s="132"/>
      <c r="M80" s="132"/>
    </row>
    <row r="81" ht="17.4" spans="1:11">
      <c r="A81" s="127"/>
      <c r="B81" s="128"/>
      <c r="C81" s="128"/>
      <c r="D81" s="104"/>
      <c r="E81" s="114"/>
      <c r="F81" s="114"/>
      <c r="G81" s="114"/>
      <c r="H81" s="114"/>
      <c r="I81" s="114"/>
      <c r="J81" s="114"/>
    </row>
    <row r="82" ht="17.4" spans="1:11">
      <c r="A82" s="2" t="s">
        <v>86</v>
      </c>
    </row>
    <row r="83" ht="17.4" spans="1:11">
      <c r="A83" s="3" t="s">
        <v>87</v>
      </c>
      <c r="B83" s="4"/>
      <c r="C83" s="4"/>
      <c r="D83" s="5" t="s">
        <v>9</v>
      </c>
      <c r="E83" s="5" t="s">
        <v>69</v>
      </c>
      <c r="F83" s="5" t="s">
        <v>70</v>
      </c>
      <c r="G83" s="5" t="s">
        <v>71</v>
      </c>
      <c r="H83" s="5" t="s">
        <v>72</v>
      </c>
      <c r="I83" s="5" t="s">
        <v>73</v>
      </c>
      <c r="J83" s="5" t="s">
        <v>43</v>
      </c>
    </row>
    <row r="84" ht="17.4" spans="1:11">
      <c r="A84" s="6" t="s">
        <v>22</v>
      </c>
      <c r="B84" s="7" t="s">
        <v>77</v>
      </c>
      <c r="C84" s="7" t="s">
        <v>78</v>
      </c>
      <c r="D84" s="8">
        <f>SUM(E84:J84)</f>
        <v>224412.1288416</v>
      </c>
      <c r="E84" s="8"/>
      <c r="F84" s="8">
        <f>(SUM(H8,Q8,T8)*10000-E84)*0.95</f>
        <v>213191.52239952</v>
      </c>
      <c r="G84" s="8">
        <f>SUM(H8,Q8,T8,W8)*10000-SUM(E84:F84)</f>
        <v>11220.60644208</v>
      </c>
      <c r="H84" s="8">
        <f>SUM(H8,Q8,T8,W8,Z8)*10000-SUM(E84:G84)</f>
        <v>0</v>
      </c>
      <c r="I84" s="8">
        <f>SUM(H8,Q8,T8,W8,Z8,AC8)*10000-SUM(E84:H84)</f>
        <v>0</v>
      </c>
      <c r="J84" s="8">
        <f>E8*10000-SUM(E84:I84)</f>
        <v>0</v>
      </c>
      <c r="K84" s="124">
        <f>SUM(D84:D87)-SUM(E8:E11)*10000</f>
        <v>0</v>
      </c>
    </row>
    <row r="85" ht="17.4" spans="1:11">
      <c r="A85" s="6" t="s">
        <v>22</v>
      </c>
      <c r="B85" s="7" t="s">
        <v>77</v>
      </c>
      <c r="C85" s="7" t="s">
        <v>79</v>
      </c>
      <c r="D85" s="8">
        <f>SUM(E85:J85)</f>
        <v>89907.2913</v>
      </c>
      <c r="E85" s="8"/>
      <c r="F85" s="8">
        <f>(SUM(H9,Q9,T9)*10000-E85)*0.95</f>
        <v>85411.926735</v>
      </c>
      <c r="G85" s="8">
        <f>SUM(H9,Q9,T9,W9)*10000-SUM(E85:F85)</f>
        <v>4495.36456500001</v>
      </c>
      <c r="H85" s="8">
        <f>SUM(H9,Q9,T9,W9,Z9)*10000-SUM(E85:G85)</f>
        <v>0</v>
      </c>
      <c r="I85" s="8">
        <f>SUM(H9,Q9,T9,W9,Z9,AC9)*10000-SUM(E85:H85)</f>
        <v>0</v>
      </c>
      <c r="J85" s="8">
        <f>E9*10000-SUM(E85:I85)</f>
        <v>0</v>
      </c>
    </row>
    <row r="86" ht="17.4" spans="1:11">
      <c r="A86" s="6" t="s">
        <v>80</v>
      </c>
      <c r="B86" s="7" t="s">
        <v>81</v>
      </c>
      <c r="C86" s="7" t="s">
        <v>79</v>
      </c>
      <c r="D86" s="8">
        <f>SUM(E86:J86)</f>
        <v>6282.69</v>
      </c>
      <c r="E86" s="8"/>
      <c r="F86" s="8">
        <f>(SUM(H10,Q10,T10)*10000-E86)*0.95</f>
        <v>0</v>
      </c>
      <c r="G86" s="8">
        <f>SUM(H10,Q10,T10,W10)*10000-SUM(E86:F86)</f>
        <v>0</v>
      </c>
      <c r="H86" s="8">
        <f>SUM(H10,Q10,T10,W10,Z10)*10000-SUM(E86:G86)</f>
        <v>0</v>
      </c>
      <c r="I86" s="8">
        <f>SUM(H10,Q10,T10,W10,Z10,AC10)*10000-SUM(E86:H86)</f>
        <v>6282.69</v>
      </c>
      <c r="J86" s="8">
        <f>E10*10000-SUM(E86:I86)</f>
        <v>0</v>
      </c>
    </row>
    <row r="87" ht="17.4" spans="1:11">
      <c r="A87" s="6" t="s">
        <v>26</v>
      </c>
      <c r="B87" s="7" t="s">
        <v>81</v>
      </c>
      <c r="C87" s="7" t="s">
        <v>79</v>
      </c>
      <c r="D87" s="8">
        <f>SUM(E87:J87)</f>
        <v>14932</v>
      </c>
      <c r="E87" s="8"/>
      <c r="F87" s="8">
        <f>(SUM(H11,Q11,T11)*10000-E87)*0.95</f>
        <v>5277.1455</v>
      </c>
      <c r="G87" s="8">
        <f>SUM(H11,Q11,T11,W11)*10000-SUM(E87:F87)</f>
        <v>4701.8545</v>
      </c>
      <c r="H87" s="8">
        <f>SUM(H11,Q11,T11,W11,Z11)*10000-SUM(E87:G87)</f>
        <v>0</v>
      </c>
      <c r="I87" s="8">
        <f>SUM(H11,Q11,T11,W11,Z11,AC11)*10000-SUM(E87:H87)</f>
        <v>4953</v>
      </c>
      <c r="J87" s="8">
        <f>E11*10000-SUM(E87:I87)</f>
        <v>0</v>
      </c>
    </row>
    <row r="89" ht="17.4" spans="1:11">
      <c r="A89" s="3" t="s">
        <v>88</v>
      </c>
      <c r="B89" s="10"/>
      <c r="C89" s="10"/>
      <c r="D89" s="11"/>
      <c r="E89" s="11"/>
      <c r="F89" s="11"/>
      <c r="G89" s="11"/>
      <c r="H89" s="11"/>
      <c r="I89" s="11"/>
      <c r="J89" s="11"/>
    </row>
    <row r="90" ht="17.4" spans="1:11">
      <c r="A90" s="6" t="s">
        <v>22</v>
      </c>
      <c r="B90" s="7" t="s">
        <v>77</v>
      </c>
      <c r="C90" s="7" t="s">
        <v>78</v>
      </c>
      <c r="D90" s="8">
        <f>SUM(E90:J90)</f>
        <v>81962.7905</v>
      </c>
      <c r="E90" s="8"/>
      <c r="F90" s="8">
        <f>(SUM(I8,R8,U8)*10000-E90)*0.95</f>
        <v>77864.650975</v>
      </c>
      <c r="G90" s="8">
        <f>SUM(I8,R8,U8,X8)*10000-SUM(E90:F90)</f>
        <v>4098.13952500001</v>
      </c>
      <c r="H90" s="8">
        <f>SUM(I8,R8,U8,X8,AA8)*10000-SUM(E90:G90)</f>
        <v>0</v>
      </c>
      <c r="I90" s="8">
        <f>SUM(I8,R8,U8,X8,AA8,AD8)*10000-SUM(E90:H90)</f>
        <v>0</v>
      </c>
      <c r="J90" s="8">
        <f>F8*10000-SUM(E90:I90)</f>
        <v>0</v>
      </c>
      <c r="K90" s="124">
        <f>SUM(D90:D93)-SUM(F8:F11)*10000</f>
        <v>0</v>
      </c>
    </row>
    <row r="91" ht="17.4" spans="1:11">
      <c r="A91" s="6" t="s">
        <v>22</v>
      </c>
      <c r="B91" s="7" t="s">
        <v>77</v>
      </c>
      <c r="C91" s="7" t="s">
        <v>79</v>
      </c>
      <c r="D91" s="8">
        <f>SUM(E91:J91)</f>
        <v>0</v>
      </c>
      <c r="E91" s="8"/>
      <c r="F91" s="8">
        <f>(SUM(I9,R9,U9)*10000-E91)*0.95</f>
        <v>0</v>
      </c>
      <c r="G91" s="8">
        <f>SUM(I9,R9,U9,X9)*10000-SUM(E91:F91)</f>
        <v>0</v>
      </c>
      <c r="H91" s="8">
        <f>SUM(I9,R9,U9,X9,AA9)*10000-SUM(E91:G91)</f>
        <v>0</v>
      </c>
      <c r="I91" s="8">
        <f>SUM(I9,R9,U9,X9,AA9,AD9)*10000-SUM(E91:H91)</f>
        <v>0</v>
      </c>
      <c r="J91" s="8">
        <f>F9*10000-SUM(E91:I91)</f>
        <v>0</v>
      </c>
    </row>
    <row r="92" ht="17.4" spans="1:11">
      <c r="A92" s="6" t="s">
        <v>80</v>
      </c>
      <c r="B92" s="7" t="s">
        <v>81</v>
      </c>
      <c r="C92" s="7" t="s">
        <v>79</v>
      </c>
      <c r="D92" s="8">
        <f>SUM(E92:J92)</f>
        <v>819.78</v>
      </c>
      <c r="E92" s="8"/>
      <c r="F92" s="8">
        <f>(SUM(I10,R10,U10)*10000-E92)*0.95</f>
        <v>0</v>
      </c>
      <c r="G92" s="8">
        <f>SUM(I10,R10,U10,X10)*10000-SUM(E92:F92)</f>
        <v>0</v>
      </c>
      <c r="H92" s="8">
        <f>SUM(I10,R10,U10,X10,AA10)*10000-SUM(E92:G92)</f>
        <v>0</v>
      </c>
      <c r="I92" s="8">
        <f>SUM(I10,R10,U10,X10,AA10,AD10)*10000-SUM(E92:H92)</f>
        <v>819.78</v>
      </c>
      <c r="J92" s="8">
        <f>F10*10000-SUM(E92:I92)</f>
        <v>0</v>
      </c>
    </row>
    <row r="93" ht="17.4" spans="1:11">
      <c r="A93" s="6" t="s">
        <v>26</v>
      </c>
      <c r="B93" s="7" t="s">
        <v>81</v>
      </c>
      <c r="C93" s="7" t="s">
        <v>79</v>
      </c>
      <c r="D93" s="8">
        <f>SUM(E93:J93)</f>
        <v>2578</v>
      </c>
      <c r="E93" s="8"/>
      <c r="F93" s="8">
        <f>(SUM(I11,R11,U11)*10000-E93)*0.95</f>
        <v>1720.45</v>
      </c>
      <c r="G93" s="8">
        <f>SUM(I11,R11,U11,X11)*10000-SUM(E93:F93)</f>
        <v>90.5500000000002</v>
      </c>
      <c r="H93" s="8">
        <f>SUM(I11,R11,U11,X11,AA11)*10000-SUM(E93:G93)</f>
        <v>0</v>
      </c>
      <c r="I93" s="8">
        <f>SUM(I11,R11,U11,X11,AA11,AD11)*10000-SUM(E93:H93)</f>
        <v>767</v>
      </c>
      <c r="J93" s="8">
        <f>F11*10000-SUM(E93:I93)</f>
        <v>0</v>
      </c>
    </row>
    <row r="94" ht="17.4" spans="1:11">
      <c r="A94" s="2" t="s">
        <v>89</v>
      </c>
    </row>
    <row r="95" ht="17.4" spans="1:11">
      <c r="A95" s="3" t="s">
        <v>90</v>
      </c>
      <c r="B95" s="4"/>
      <c r="C95" s="4"/>
      <c r="D95" s="5" t="s">
        <v>9</v>
      </c>
      <c r="E95" s="5" t="s">
        <v>69</v>
      </c>
      <c r="F95" s="5" t="s">
        <v>70</v>
      </c>
      <c r="G95" s="5" t="s">
        <v>71</v>
      </c>
      <c r="H95" s="5" t="s">
        <v>72</v>
      </c>
      <c r="I95" s="5" t="s">
        <v>73</v>
      </c>
      <c r="J95" s="5" t="s">
        <v>43</v>
      </c>
    </row>
    <row r="96" ht="17.4" spans="1:11">
      <c r="A96" s="6" t="s">
        <v>22</v>
      </c>
      <c r="B96" s="7" t="s">
        <v>77</v>
      </c>
      <c r="C96" s="7" t="s">
        <v>78</v>
      </c>
      <c r="D96" s="9">
        <f t="shared" ref="D96:J96" si="20">IFERROR(+D84/D71,0)</f>
        <v>3.32287998820175</v>
      </c>
      <c r="E96" s="9">
        <f t="shared" si="20"/>
        <v>0</v>
      </c>
      <c r="F96" s="9">
        <f t="shared" si="20"/>
        <v>3.32287998820175</v>
      </c>
      <c r="G96" s="9">
        <f t="shared" si="20"/>
        <v>3.32287998820175</v>
      </c>
      <c r="H96" s="9">
        <f t="shared" si="20"/>
        <v>0</v>
      </c>
      <c r="I96" s="9">
        <f t="shared" si="20"/>
        <v>0</v>
      </c>
      <c r="J96" s="9">
        <f t="shared" si="20"/>
        <v>0</v>
      </c>
      <c r="K96" s="124">
        <f>+D96-E23</f>
        <v>0</v>
      </c>
    </row>
    <row r="97" ht="17.4" spans="1:12">
      <c r="A97" s="6" t="s">
        <v>22</v>
      </c>
      <c r="B97" s="7" t="s">
        <v>77</v>
      </c>
      <c r="C97" s="7" t="s">
        <v>79</v>
      </c>
      <c r="D97" s="9">
        <f t="shared" ref="D97:J97" si="21">IFERROR(+D85/D72,0)</f>
        <v>3.11146772884045</v>
      </c>
      <c r="E97" s="9">
        <f t="shared" si="21"/>
        <v>0</v>
      </c>
      <c r="F97" s="9">
        <f t="shared" si="21"/>
        <v>3.11146772884045</v>
      </c>
      <c r="G97" s="9">
        <f t="shared" si="21"/>
        <v>3.11146772884045</v>
      </c>
      <c r="H97" s="9">
        <f t="shared" si="21"/>
        <v>0</v>
      </c>
      <c r="I97" s="9">
        <f t="shared" si="21"/>
        <v>0</v>
      </c>
      <c r="J97" s="9">
        <f t="shared" si="21"/>
        <v>0</v>
      </c>
      <c r="K97" s="124">
        <f>+D97-E24</f>
        <v>0</v>
      </c>
    </row>
    <row r="98" ht="17.4" spans="1:12">
      <c r="A98" s="6" t="s">
        <v>80</v>
      </c>
      <c r="B98" s="7" t="s">
        <v>81</v>
      </c>
      <c r="C98" s="7" t="s">
        <v>79</v>
      </c>
      <c r="D98" s="9">
        <f t="shared" ref="D98:J98" si="22">IFERROR(+D86/D73,0)</f>
        <v>3</v>
      </c>
      <c r="E98" s="9">
        <f t="shared" si="22"/>
        <v>0</v>
      </c>
      <c r="F98" s="9">
        <f t="shared" si="22"/>
        <v>0</v>
      </c>
      <c r="G98" s="9">
        <f t="shared" si="22"/>
        <v>0</v>
      </c>
      <c r="H98" s="9">
        <f t="shared" si="22"/>
        <v>0</v>
      </c>
      <c r="I98" s="9">
        <f t="shared" si="22"/>
        <v>3</v>
      </c>
      <c r="J98" s="9">
        <f t="shared" si="22"/>
        <v>0</v>
      </c>
      <c r="K98" s="124">
        <f>+D98-E25</f>
        <v>0</v>
      </c>
    </row>
    <row r="99" ht="17.4" spans="1:12">
      <c r="A99" s="6" t="s">
        <v>26</v>
      </c>
      <c r="B99" s="7" t="s">
        <v>81</v>
      </c>
      <c r="C99" s="7" t="s">
        <v>79</v>
      </c>
      <c r="D99" s="9">
        <f t="shared" ref="D99:J99" si="23">IFERROR(+D87/D61,0)</f>
        <v>15.8513800424628</v>
      </c>
      <c r="E99" s="9">
        <f t="shared" si="23"/>
        <v>0</v>
      </c>
      <c r="F99" s="9">
        <f t="shared" si="23"/>
        <v>19.2210726643599</v>
      </c>
      <c r="G99" s="9">
        <f t="shared" si="23"/>
        <v>16.4142241228836</v>
      </c>
      <c r="H99" s="9">
        <f t="shared" si="23"/>
        <v>0</v>
      </c>
      <c r="I99" s="9">
        <f t="shared" si="23"/>
        <v>13</v>
      </c>
      <c r="J99" s="9">
        <f t="shared" si="23"/>
        <v>0</v>
      </c>
      <c r="K99" s="124">
        <f>+D99-E26</f>
        <v>0</v>
      </c>
    </row>
    <row r="101" ht="17.4" spans="1:12">
      <c r="A101" s="3" t="s">
        <v>91</v>
      </c>
      <c r="B101" s="10"/>
      <c r="C101" s="10"/>
      <c r="D101" s="11"/>
      <c r="E101" s="11"/>
      <c r="F101" s="11"/>
      <c r="G101" s="11"/>
      <c r="H101" s="11"/>
      <c r="I101" s="11"/>
      <c r="J101" s="11"/>
    </row>
    <row r="102" ht="17.4" spans="1:12">
      <c r="A102" s="6" t="s">
        <v>22</v>
      </c>
      <c r="B102" s="7" t="s">
        <v>77</v>
      </c>
      <c r="C102" s="7" t="s">
        <v>78</v>
      </c>
      <c r="D102" s="9">
        <f t="shared" ref="D102:J102" si="24">IFERROR(+D90/D77,0)</f>
        <v>0</v>
      </c>
      <c r="E102" s="9">
        <f t="shared" si="24"/>
        <v>0</v>
      </c>
      <c r="F102" s="9">
        <f t="shared" si="24"/>
        <v>0</v>
      </c>
      <c r="G102" s="9">
        <f t="shared" si="24"/>
        <v>0</v>
      </c>
      <c r="H102" s="9">
        <f t="shared" si="24"/>
        <v>0</v>
      </c>
      <c r="I102" s="9">
        <f t="shared" si="24"/>
        <v>0</v>
      </c>
      <c r="J102" s="9">
        <f t="shared" si="24"/>
        <v>0</v>
      </c>
      <c r="K102" s="124">
        <f>+D102-F23</f>
        <v>-3.42988765366177</v>
      </c>
    </row>
    <row r="103" ht="17.4" spans="1:12">
      <c r="A103" s="6" t="s">
        <v>22</v>
      </c>
      <c r="B103" s="7" t="s">
        <v>77</v>
      </c>
      <c r="C103" s="7" t="s">
        <v>79</v>
      </c>
      <c r="D103" s="9">
        <f t="shared" ref="D103:J103" si="25">IFERROR(+D91/D78,0)</f>
        <v>0</v>
      </c>
      <c r="E103" s="9">
        <f t="shared" si="25"/>
        <v>0</v>
      </c>
      <c r="F103" s="9">
        <f t="shared" si="25"/>
        <v>0</v>
      </c>
      <c r="G103" s="9">
        <f t="shared" si="25"/>
        <v>0</v>
      </c>
      <c r="H103" s="9">
        <f t="shared" si="25"/>
        <v>0</v>
      </c>
      <c r="I103" s="9">
        <f t="shared" si="25"/>
        <v>0</v>
      </c>
      <c r="J103" s="9">
        <f t="shared" si="25"/>
        <v>0</v>
      </c>
      <c r="K103" s="124">
        <f>+D103-F24</f>
        <v>0</v>
      </c>
    </row>
    <row r="104" ht="17.4" spans="1:12">
      <c r="A104" s="6" t="s">
        <v>80</v>
      </c>
      <c r="B104" s="7" t="s">
        <v>81</v>
      </c>
      <c r="C104" s="7" t="s">
        <v>79</v>
      </c>
      <c r="D104" s="9">
        <f t="shared" ref="D104:J104" si="26">IFERROR(+D92/D79,0)</f>
        <v>0</v>
      </c>
      <c r="E104" s="9">
        <f t="shared" si="26"/>
        <v>0</v>
      </c>
      <c r="F104" s="9">
        <f t="shared" si="26"/>
        <v>0</v>
      </c>
      <c r="G104" s="9">
        <f t="shared" si="26"/>
        <v>0</v>
      </c>
      <c r="H104" s="9">
        <f t="shared" si="26"/>
        <v>0</v>
      </c>
      <c r="I104" s="9">
        <f t="shared" si="26"/>
        <v>0</v>
      </c>
      <c r="J104" s="9">
        <f t="shared" si="26"/>
        <v>0</v>
      </c>
      <c r="K104" s="124">
        <f>+D104-F25</f>
        <v>-3</v>
      </c>
    </row>
    <row r="105" ht="17.4" spans="1:12">
      <c r="A105" s="6" t="s">
        <v>26</v>
      </c>
      <c r="B105" s="7" t="s">
        <v>81</v>
      </c>
      <c r="C105" s="7" t="s">
        <v>79</v>
      </c>
      <c r="D105" s="9">
        <f t="shared" ref="D105:J105" si="27">IFERROR(+D93/D67,0)</f>
        <v>17.4189189189189</v>
      </c>
      <c r="E105" s="9">
        <f t="shared" si="27"/>
        <v>0</v>
      </c>
      <c r="F105" s="9">
        <f t="shared" si="27"/>
        <v>20.3483146067416</v>
      </c>
      <c r="G105" s="9">
        <f t="shared" si="27"/>
        <v>20.3483146067416</v>
      </c>
      <c r="H105" s="9">
        <f t="shared" si="27"/>
        <v>0</v>
      </c>
      <c r="I105" s="9">
        <f t="shared" si="27"/>
        <v>13</v>
      </c>
      <c r="J105" s="9">
        <f t="shared" si="27"/>
        <v>0</v>
      </c>
      <c r="K105" s="124">
        <f>+D105-F26</f>
        <v>0</v>
      </c>
    </row>
    <row r="106" ht="15" customHeight="1" spans="1:12">
      <c r="A106" s="2" t="s">
        <v>92</v>
      </c>
    </row>
    <row r="107" ht="17.4" spans="1:12">
      <c r="A107" s="3" t="s">
        <v>93</v>
      </c>
      <c r="B107" s="4"/>
      <c r="C107" s="4"/>
      <c r="D107" s="5" t="s">
        <v>9</v>
      </c>
      <c r="F107" s="4" t="s">
        <v>94</v>
      </c>
      <c r="G107" s="4"/>
      <c r="H107" s="4" t="s">
        <v>95</v>
      </c>
      <c r="I107" s="4"/>
      <c r="J107" s="4" t="s">
        <v>96</v>
      </c>
      <c r="K107" s="4"/>
      <c r="L107" s="5" t="s">
        <v>97</v>
      </c>
    </row>
    <row r="108" ht="17.4" spans="1:12">
      <c r="A108" s="6" t="s">
        <v>22</v>
      </c>
      <c r="B108" s="7" t="s">
        <v>77</v>
      </c>
      <c r="C108" s="7" t="s">
        <v>78</v>
      </c>
      <c r="D108" s="9">
        <f>+'[3]06-2成本分摊'!$Y$6</f>
        <v>2.46761318291339</v>
      </c>
      <c r="F108" s="133">
        <f>+B121/SUM(D71:D74,D77:D80)</f>
        <v>-0.0438404998794498</v>
      </c>
      <c r="G108" s="133"/>
      <c r="H108" s="134">
        <f>-C29/1.09/SUM(D71:D74,D77:D80)</f>
        <v>-0.0285505343562049</v>
      </c>
      <c r="J108" s="134">
        <f>+B123/SUM(D71:D74,D77:D80)</f>
        <v>0.0114758570239717</v>
      </c>
      <c r="K108" s="135"/>
      <c r="L108" s="133">
        <f>+D108+F108+H108+J108</f>
        <v>2.40669800570171</v>
      </c>
    </row>
    <row r="109" ht="17.4" spans="1:12">
      <c r="A109" s="6" t="s">
        <v>22</v>
      </c>
      <c r="B109" s="7" t="s">
        <v>77</v>
      </c>
      <c r="C109" s="7" t="s">
        <v>79</v>
      </c>
      <c r="D109" s="9">
        <f>+'[3]06-2成本分摊'!$Y$7</f>
        <v>2.49684941883758</v>
      </c>
      <c r="F109" s="133">
        <f>+F108</f>
        <v>-0.0438404998794498</v>
      </c>
      <c r="G109" s="133"/>
      <c r="H109" s="134">
        <f>+H108</f>
        <v>-0.0285505343562049</v>
      </c>
      <c r="J109" s="134">
        <f>+J108</f>
        <v>0.0114758570239717</v>
      </c>
      <c r="L109" s="133">
        <f>+D109+F109+H109+J109</f>
        <v>2.4359342416259</v>
      </c>
    </row>
    <row r="110" ht="17.4" spans="1:12">
      <c r="A110" s="6" t="s">
        <v>80</v>
      </c>
      <c r="B110" s="7" t="s">
        <v>81</v>
      </c>
      <c r="C110" s="7" t="s">
        <v>79</v>
      </c>
      <c r="D110" s="9">
        <f>+'[3]06-2成本分摊'!$Y$16</f>
        <v>2.28949396758945</v>
      </c>
      <c r="F110" s="133">
        <f>+F109</f>
        <v>-0.0438404998794498</v>
      </c>
      <c r="G110" s="133"/>
      <c r="H110" s="134">
        <f>+H109</f>
        <v>-0.0285505343562049</v>
      </c>
      <c r="J110" s="134">
        <f>+J109</f>
        <v>0.0114758570239717</v>
      </c>
      <c r="L110" s="133">
        <f>+D110+F110+H110+J110</f>
        <v>2.22857879037777</v>
      </c>
    </row>
    <row r="111" ht="17.4" spans="1:12">
      <c r="A111" s="6" t="s">
        <v>26</v>
      </c>
      <c r="B111" s="7" t="s">
        <v>81</v>
      </c>
      <c r="C111" s="7" t="s">
        <v>79</v>
      </c>
      <c r="D111" s="136">
        <f>+'[3]06-2成本分摊'!$Y$27*(D61-AC21)/L61</f>
        <v>15.3571654892354</v>
      </c>
      <c r="F111" s="133">
        <f>+F108*N61</f>
        <v>-1.38013802964446</v>
      </c>
      <c r="G111" s="133"/>
      <c r="H111" s="134">
        <f>+H110*D74/D61</f>
        <v>-0.919272037218258</v>
      </c>
      <c r="J111" s="134">
        <f>+J110*D74/D61</f>
        <v>0.369500421030095</v>
      </c>
      <c r="L111" s="133">
        <f>+D111+F111+H111+J111</f>
        <v>13.4272558434028</v>
      </c>
    </row>
    <row r="112" ht="17.4" spans="1:12">
      <c r="D112" s="124"/>
      <c r="L112" s="133"/>
    </row>
    <row r="113" ht="17.4" spans="1:12">
      <c r="A113" s="3" t="s">
        <v>98</v>
      </c>
      <c r="B113" s="4"/>
      <c r="C113" s="4"/>
      <c r="D113" s="137" t="s">
        <v>9</v>
      </c>
      <c r="L113" s="133"/>
    </row>
    <row r="114" ht="17.4" spans="1:12">
      <c r="A114" s="6" t="s">
        <v>22</v>
      </c>
      <c r="B114" s="7" t="s">
        <v>77</v>
      </c>
      <c r="C114" s="7" t="s">
        <v>78</v>
      </c>
      <c r="D114" s="9">
        <f>+'[3]06-2成本分摊'!$Y$35</f>
        <v>2.46843485735751</v>
      </c>
      <c r="F114" s="133">
        <f>+F108</f>
        <v>-0.0438404998794498</v>
      </c>
      <c r="G114" s="133"/>
      <c r="H114" s="134">
        <f>+H108</f>
        <v>-0.0285505343562049</v>
      </c>
      <c r="J114" s="134">
        <f>+J108</f>
        <v>0.0114758570239717</v>
      </c>
      <c r="L114" s="133">
        <f>+D114+F114+H114+J114</f>
        <v>2.40751968014583</v>
      </c>
    </row>
    <row r="115" ht="17.4" spans="1:12">
      <c r="A115" s="6" t="s">
        <v>22</v>
      </c>
      <c r="B115" s="7" t="s">
        <v>77</v>
      </c>
      <c r="C115" s="7" t="s">
        <v>79</v>
      </c>
      <c r="D115" s="9">
        <v>0</v>
      </c>
      <c r="F115" s="133">
        <f>+F114</f>
        <v>-0.0438404998794498</v>
      </c>
      <c r="G115" s="133"/>
      <c r="H115" s="134">
        <f>+H109</f>
        <v>-0.0285505343562049</v>
      </c>
      <c r="J115" s="134">
        <f>+J109</f>
        <v>0.0114758570239717</v>
      </c>
      <c r="L115" s="133">
        <f>+D115+F115+H115+J115</f>
        <v>-0.060915177211683</v>
      </c>
    </row>
    <row r="116" ht="17.4" spans="1:12">
      <c r="A116" s="6" t="s">
        <v>80</v>
      </c>
      <c r="B116" s="7" t="s">
        <v>81</v>
      </c>
      <c r="C116" s="7" t="s">
        <v>79</v>
      </c>
      <c r="D116" s="9">
        <f>+'[3]06-2成本分摊'!$Y$45</f>
        <v>2.29210205626539</v>
      </c>
      <c r="F116" s="133">
        <f>+F115</f>
        <v>-0.0438404998794498</v>
      </c>
      <c r="G116" s="133"/>
      <c r="H116" s="134">
        <f>+H110</f>
        <v>-0.0285505343562049</v>
      </c>
      <c r="J116" s="134">
        <f>+J110</f>
        <v>0.0114758570239717</v>
      </c>
      <c r="L116" s="133">
        <f>+D116+F116+H116+J116</f>
        <v>2.23118687905371</v>
      </c>
    </row>
    <row r="117" ht="17.4" spans="1:12">
      <c r="A117" s="6" t="s">
        <v>26</v>
      </c>
      <c r="B117" s="7" t="s">
        <v>81</v>
      </c>
      <c r="C117" s="7" t="s">
        <v>79</v>
      </c>
      <c r="D117" s="136">
        <f>+'[3]06-2成本分摊'!$Y$56*(D67-AD21)/L67</f>
        <v>22.3494990301746</v>
      </c>
      <c r="F117" s="133">
        <f>+F114*N67</f>
        <v>-1.99785305024965</v>
      </c>
      <c r="G117" s="133"/>
      <c r="H117" s="134">
        <f>+H116*D80/D67</f>
        <v>0</v>
      </c>
      <c r="J117" s="134">
        <f>+J116*D80/D67</f>
        <v>0</v>
      </c>
      <c r="L117" s="133">
        <f>+D117+F117+H117+J117</f>
        <v>20.351645979925</v>
      </c>
    </row>
    <row r="118" ht="22" customHeight="1" spans="1:12">
      <c r="A118" s="138" t="s">
        <v>99</v>
      </c>
    </row>
    <row r="119" ht="19" customHeight="1" spans="1:12">
      <c r="A119" s="139" t="s">
        <v>100</v>
      </c>
      <c r="B119" s="140">
        <f>+'[3]06-项目成本支付计划'!$D$43</f>
        <v>7394.93348922113</v>
      </c>
    </row>
    <row r="120" ht="17.4" spans="1:12">
      <c r="A120" s="139" t="s">
        <v>101</v>
      </c>
      <c r="B120" s="140">
        <f>+[5]Sheet5!$B$52</f>
        <v>1745.83520007427</v>
      </c>
    </row>
    <row r="121" ht="17.4" spans="1:12">
      <c r="A121" s="139" t="s">
        <v>102</v>
      </c>
      <c r="B121" s="140">
        <f>+B120-B119</f>
        <v>-5649.09828914686</v>
      </c>
    </row>
    <row r="122" ht="17.4" spans="1:12">
      <c r="A122" s="139"/>
      <c r="B122" s="140"/>
    </row>
    <row r="123" ht="17.4" spans="1:12">
      <c r="A123" s="139" t="s">
        <v>96</v>
      </c>
      <c r="B123" s="140">
        <f>+[1]附件5.恒嘉相关!J143/10000</f>
        <v>1478.729587</v>
      </c>
    </row>
    <row r="124" ht="17.4" spans="1:12">
      <c r="A124" s="139"/>
      <c r="B124" s="140"/>
    </row>
  </sheetData>
  <mergeCells count="19"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F107:G107"/>
    <mergeCell ref="H107:I107"/>
    <mergeCell ref="J107:K107"/>
    <mergeCell ref="A4:C5"/>
    <mergeCell ref="A6:B11"/>
    <mergeCell ref="A12:B16"/>
    <mergeCell ref="A17:B21"/>
    <mergeCell ref="A22:B26"/>
    <mergeCell ref="K77:M8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70" zoomScaleNormal="70" workbookViewId="0">
      <selection activeCell="E3" sqref="E3"/>
    </sheetView>
  </sheetViews>
  <sheetFormatPr defaultColWidth="9" defaultRowHeight="14.4"/>
  <cols>
    <col min="3" max="3" width="11.5" style="1" customWidth="1"/>
    <col min="5" max="5" width="20.0462962962963" style="1" customWidth="1"/>
    <col min="6" max="6" width="24.4259259259259" style="1" customWidth="1"/>
    <col min="7" max="7" width="27.3796296296296" style="1" customWidth="1"/>
    <col min="8" max="8" width="30.5" style="1" customWidth="1"/>
    <col min="9" max="9" width="14.0462962962963" style="1" customWidth="1"/>
  </cols>
  <sheetData>
    <row r="1" ht="17.4" spans="1:9">
      <c r="A1" s="2" t="s">
        <v>27</v>
      </c>
      <c r="B1" s="1"/>
      <c r="D1" s="1"/>
    </row>
    <row r="2" ht="17.4" spans="1:9">
      <c r="A2" s="3" t="s">
        <v>83</v>
      </c>
      <c r="B2" s="4"/>
      <c r="C2" s="4"/>
      <c r="D2" s="5" t="s">
        <v>9</v>
      </c>
      <c r="E2" s="5" t="s">
        <v>69</v>
      </c>
      <c r="F2" s="5" t="s">
        <v>70</v>
      </c>
      <c r="G2" s="5" t="s">
        <v>71</v>
      </c>
      <c r="H2" s="5" t="s">
        <v>72</v>
      </c>
      <c r="I2" s="5" t="s">
        <v>73</v>
      </c>
    </row>
    <row r="3" ht="17.4" spans="1:9">
      <c r="A3" s="6" t="s">
        <v>22</v>
      </c>
      <c r="B3" s="7" t="s">
        <v>77</v>
      </c>
      <c r="C3" s="7" t="s">
        <v>78</v>
      </c>
      <c r="D3" s="8"/>
      <c r="E3" s="8">
        <f>(SUM(H13,P13,S13)*10000-E71)*0.95</f>
        <v>0</v>
      </c>
      <c r="F3" s="8">
        <f>SUM(H13,P13,S13,V13)*10000-SUM(E71:F71)</f>
        <v>0</v>
      </c>
      <c r="G3" s="8">
        <f>SUM(H13,P13,S13,V13,Y13)*10000-SUM(E71:G71)</f>
        <v>0</v>
      </c>
      <c r="H3" s="9">
        <f>SUM(H13,P13,S13,V13,Y13,AB13)*10000-SUM(E71:H71)</f>
        <v>0</v>
      </c>
      <c r="I3" s="8">
        <f>E13*10000-SUM(E71:I71)</f>
        <v>0</v>
      </c>
    </row>
    <row r="4" ht="17.4" spans="1:9">
      <c r="A4" s="6" t="s">
        <v>22</v>
      </c>
      <c r="B4" s="7" t="s">
        <v>77</v>
      </c>
      <c r="C4" s="7" t="s">
        <v>79</v>
      </c>
      <c r="D4" s="8"/>
      <c r="E4" s="8"/>
      <c r="F4" s="8"/>
      <c r="G4" s="8"/>
      <c r="H4" s="9"/>
      <c r="I4" s="8"/>
    </row>
    <row r="5" ht="17.4" spans="1:9">
      <c r="A5" s="6" t="s">
        <v>80</v>
      </c>
      <c r="B5" s="7" t="s">
        <v>81</v>
      </c>
      <c r="C5" s="7" t="s">
        <v>79</v>
      </c>
      <c r="D5" s="8"/>
      <c r="E5" s="8"/>
      <c r="F5" s="8"/>
      <c r="G5" s="8"/>
      <c r="H5" s="9"/>
      <c r="I5" s="8"/>
    </row>
    <row r="6" ht="17.4" spans="1:9">
      <c r="A6" s="6" t="s">
        <v>26</v>
      </c>
      <c r="B6" s="7" t="s">
        <v>81</v>
      </c>
      <c r="C6" s="7" t="s">
        <v>79</v>
      </c>
      <c r="D6" s="8"/>
      <c r="E6" s="8"/>
      <c r="F6" s="8"/>
      <c r="G6" s="8"/>
      <c r="H6" s="9"/>
      <c r="I6" s="8"/>
    </row>
    <row r="7" spans="1:9">
      <c r="A7" s="1"/>
      <c r="B7" s="1"/>
      <c r="D7" s="1"/>
    </row>
    <row r="8" ht="17.4" spans="1:9">
      <c r="A8" s="3" t="s">
        <v>84</v>
      </c>
      <c r="B8" s="10"/>
      <c r="C8" s="10"/>
      <c r="D8" s="11"/>
      <c r="E8" s="11"/>
      <c r="F8" s="11"/>
      <c r="G8" s="11"/>
      <c r="H8" s="11"/>
      <c r="I8" s="11"/>
    </row>
    <row r="9" ht="17.4" spans="1:9">
      <c r="A9" s="6" t="s">
        <v>22</v>
      </c>
      <c r="B9" s="7" t="s">
        <v>77</v>
      </c>
      <c r="C9" s="7" t="s">
        <v>78</v>
      </c>
      <c r="D9" s="8"/>
      <c r="E9" s="8">
        <f>(SUM(I13,R13,U13)*10000-E77)*0.95</f>
        <v>0</v>
      </c>
      <c r="F9" s="8">
        <f>SUM(I13,R13,U13,X13)*10000-SUM(E77:F77)</f>
        <v>0</v>
      </c>
      <c r="G9" s="8">
        <f>SUM(I13,R13,U13,X13,AA13)*10000-SUM(E77:G77)</f>
        <v>0</v>
      </c>
      <c r="H9" s="8">
        <f>SUM(I13,R13,U13,X13,AA13,AD13)*10000-SUM(E77:H77)</f>
        <v>0</v>
      </c>
      <c r="I9" s="8">
        <f>F13*10000-SUM(E77:I77)</f>
        <v>0</v>
      </c>
    </row>
    <row r="10" ht="17.4" spans="1:9">
      <c r="A10" s="6" t="s">
        <v>22</v>
      </c>
      <c r="B10" s="7" t="s">
        <v>77</v>
      </c>
      <c r="C10" s="7" t="s">
        <v>79</v>
      </c>
      <c r="D10" s="8"/>
      <c r="E10" s="8"/>
      <c r="F10" s="8"/>
      <c r="G10" s="8"/>
      <c r="H10" s="8"/>
      <c r="I10" s="8"/>
    </row>
    <row r="11" ht="17.4" spans="1:9">
      <c r="A11" s="6" t="s">
        <v>80</v>
      </c>
      <c r="B11" s="7" t="s">
        <v>81</v>
      </c>
      <c r="C11" s="7" t="s">
        <v>79</v>
      </c>
      <c r="D11" s="8"/>
      <c r="E11" s="8"/>
      <c r="F11" s="8"/>
      <c r="G11" s="8"/>
      <c r="H11" s="8"/>
      <c r="I11" s="8"/>
    </row>
    <row r="12" ht="17.4" spans="1:9">
      <c r="A12" s="6" t="s">
        <v>26</v>
      </c>
      <c r="B12" s="7" t="s">
        <v>81</v>
      </c>
      <c r="C12" s="7" t="s">
        <v>79</v>
      </c>
      <c r="D12" s="8"/>
      <c r="E12" s="8"/>
      <c r="F12" s="8"/>
      <c r="G12" s="8"/>
      <c r="H12" s="8"/>
      <c r="I12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LibreOffice/26.2.3.2$Windows_X86_64 LibreOffice_project/70e089b17412e4cb7773e41413306b17a2328c34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销售物业-海沧A璞盛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WPS_1666182499</cp:lastModifiedBy>
  <cp:revision>18</cp:revision>
  <dcterms:created xsi:type="dcterms:W3CDTF">2026-05-07T13:57:00Z</dcterms:created>
  <dcterms:modified xsi:type="dcterms:W3CDTF">2026-05-16T06:50:28Z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C79374AB85244A07931281D42731E4E1_11</vt:lpwstr>
  </property>
  <property fmtid="{D5CDD505-2E9C-101B-9397-08002B2CF9AE}" pid="4" name="KSOProductBuildVer">
    <vt:lpwstr>2052-12.1.0.26375</vt:lpwstr>
  </property>
</Properties>
</file>